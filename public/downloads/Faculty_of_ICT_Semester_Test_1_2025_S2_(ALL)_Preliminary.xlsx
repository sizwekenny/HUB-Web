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tut4lifeac-my.sharepoint.com/personal/kambalevw_tut_ac_za/Documents/Documents/ICT FACULTY 2025/SEMESTER TESTS S2-2025/"/>
    </mc:Choice>
  </mc:AlternateContent>
  <xr:revisionPtr revIDLastSave="0" documentId="13_ncr:1_{6F4F8341-6BC1-4045-9537-B2600837DCB8}" xr6:coauthVersionLast="47" xr6:coauthVersionMax="47" xr10:uidLastSave="{00000000-0000-0000-0000-000000000000}"/>
  <bookViews>
    <workbookView xWindow="-108" yWindow="-108" windowWidth="23256" windowHeight="12456" xr2:uid="{492A3C4A-86E2-4C3B-927B-E9C8B47BB27A}"/>
  </bookViews>
  <sheets>
    <sheet name="Sem Test 1 S2 2025 (Diplomas)" sheetId="1" r:id="rId1"/>
    <sheet name="Sem Test 1 S2 2025 Sat Classes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3" i="2" l="1"/>
  <c r="F90" i="2"/>
  <c r="F70" i="2"/>
  <c r="F55" i="2"/>
  <c r="F36" i="2"/>
  <c r="F20" i="2"/>
  <c r="F227" i="1"/>
  <c r="H224" i="1" s="1"/>
  <c r="F202" i="1"/>
  <c r="H199" i="1" s="1"/>
  <c r="I145" i="1"/>
  <c r="F142" i="1"/>
  <c r="I139" i="1" s="1"/>
  <c r="F122" i="1"/>
  <c r="H119" i="1" s="1"/>
  <c r="F21" i="1"/>
  <c r="I6" i="1" s="1"/>
  <c r="I63" i="1"/>
  <c r="H53" i="1"/>
  <c r="F244" i="1"/>
  <c r="F243" i="1"/>
  <c r="F242" i="1"/>
  <c r="F238" i="1"/>
  <c r="F193" i="1"/>
  <c r="I190" i="1" s="1"/>
  <c r="F155" i="1"/>
  <c r="H152" i="1" s="1"/>
  <c r="F105" i="1"/>
  <c r="I102" i="1" s="1"/>
  <c r="F76" i="1"/>
  <c r="H73" i="1" s="1"/>
  <c r="F32" i="1"/>
  <c r="H25" i="1" s="1"/>
  <c r="I218" i="1"/>
  <c r="H205" i="1"/>
  <c r="H179" i="1"/>
  <c r="I172" i="1"/>
  <c r="H159" i="1"/>
  <c r="H129" i="1"/>
  <c r="H110" i="1"/>
  <c r="H91" i="1"/>
  <c r="I84" i="1"/>
  <c r="I46" i="1"/>
  <c r="H36" i="1"/>
  <c r="I18" i="1" l="1"/>
</calcChain>
</file>

<file path=xl/sharedStrings.xml><?xml version="1.0" encoding="utf-8"?>
<sst xmlns="http://schemas.openxmlformats.org/spreadsheetml/2006/main" count="1047" uniqueCount="377">
  <si>
    <t>FACULTY ICT - Sem 2 2025: Semester Test Week 1 (Mon 18 Aug to Wed 27 Aug) - Preliminary</t>
  </si>
  <si>
    <t>Practical - Normal Lab</t>
  </si>
  <si>
    <r>
      <t xml:space="preserve">ONLY PRACTICAL SESSION: </t>
    </r>
    <r>
      <rPr>
        <b/>
        <sz val="16"/>
        <color indexed="10"/>
        <rFont val="Arial"/>
        <family val="2"/>
      </rPr>
      <t>08:3</t>
    </r>
    <r>
      <rPr>
        <b/>
        <sz val="16"/>
        <color indexed="10"/>
        <rFont val="Arial"/>
        <family val="2"/>
      </rPr>
      <t>0 - 11:30 (Prac)</t>
    </r>
  </si>
  <si>
    <t>SUBJECT CODE</t>
  </si>
  <si>
    <t>COURSE</t>
  </si>
  <si>
    <t>T/P</t>
  </si>
  <si>
    <t>DUR</t>
  </si>
  <si>
    <t># STUD</t>
  </si>
  <si>
    <t>SLOT</t>
  </si>
  <si>
    <t>LECTURER(s)</t>
  </si>
  <si>
    <t>VENUES</t>
  </si>
  <si>
    <t>COMMENTS</t>
  </si>
  <si>
    <t>SOSHANGUVE</t>
  </si>
  <si>
    <t>DPYEF0</t>
  </si>
  <si>
    <t>B</t>
  </si>
  <si>
    <t>Theory</t>
  </si>
  <si>
    <t>T</t>
  </si>
  <si>
    <t>F</t>
  </si>
  <si>
    <t>MT2116D</t>
  </si>
  <si>
    <t>DPYE20</t>
  </si>
  <si>
    <t>TJ Mogaladi</t>
  </si>
  <si>
    <t>MT1F05D</t>
  </si>
  <si>
    <t>S Khumalo</t>
  </si>
  <si>
    <t>MT2F06D</t>
  </si>
  <si>
    <t xml:space="preserve">T Tong </t>
  </si>
  <si>
    <t>DAY 1: MON 18 AUG</t>
  </si>
  <si>
    <t>DAY 2: TUE 19 AUG</t>
  </si>
  <si>
    <t>DAY 3: WED 20 AUG</t>
  </si>
  <si>
    <t>DAY 4: THU 21 AUG</t>
  </si>
  <si>
    <t>DAY 5: FRI 22 AUG</t>
  </si>
  <si>
    <t>SAT 23 AUG - SEM TEST WEEK 1: ADV DIPLOMA AND PGRAD DIPLOMA SESSION 1 - SEE SECOND SHEET FOR DETAIL</t>
  </si>
  <si>
    <t>SPECIAL SESSION: SAT 23 AUG</t>
  </si>
  <si>
    <t>DAY 6: MON 25 AUG</t>
  </si>
  <si>
    <t>DAY 7: TUE 26 AUG</t>
  </si>
  <si>
    <t>DAY 8: WED 27 AUG</t>
  </si>
  <si>
    <t>CFB115D</t>
  </si>
  <si>
    <t>DPMC20/DPRS20</t>
  </si>
  <si>
    <t>SEF216D</t>
  </si>
  <si>
    <t>DPRS20/DPRSF0</t>
  </si>
  <si>
    <t>TAN216D</t>
  </si>
  <si>
    <t>DPMC20/DPMCF0</t>
  </si>
  <si>
    <t>P</t>
  </si>
  <si>
    <t>BCM115D</t>
  </si>
  <si>
    <t>DPIF20</t>
  </si>
  <si>
    <t>BCMF15D</t>
  </si>
  <si>
    <t>DPIFF0</t>
  </si>
  <si>
    <t>CN2216D</t>
  </si>
  <si>
    <t>DPIT20/DPITF0</t>
  </si>
  <si>
    <t>NWS216D / CN2115D</t>
  </si>
  <si>
    <t>DPYE20/DPYEF0/DPIT20</t>
  </si>
  <si>
    <t>CN2F15D</t>
  </si>
  <si>
    <t>DPITF0</t>
  </si>
  <si>
    <t xml:space="preserve">PG2F06D </t>
  </si>
  <si>
    <t>PG2116D</t>
  </si>
  <si>
    <t>PG1F05D</t>
  </si>
  <si>
    <t>ITP216D</t>
  </si>
  <si>
    <t>DPIF20/DPIFF0</t>
  </si>
  <si>
    <t>OPS216D</t>
  </si>
  <si>
    <t>DPYE20/DPYEF0</t>
  </si>
  <si>
    <t>16P105X/16E105X - Year</t>
  </si>
  <si>
    <t>DPIF20/DPIT20/DPRS20/DPMC20</t>
  </si>
  <si>
    <t>MUA216D</t>
  </si>
  <si>
    <t>NWS115D</t>
  </si>
  <si>
    <t>NWSF05D</t>
  </si>
  <si>
    <t>EIPF05D</t>
  </si>
  <si>
    <t>ORS216D</t>
  </si>
  <si>
    <t>SYB216D</t>
  </si>
  <si>
    <t>PS2216D</t>
  </si>
  <si>
    <t xml:space="preserve">MRO216D </t>
  </si>
  <si>
    <t>DPRSF0/DPMCF0/DPRS20/DPIF20/
DPMC20/DPITF0/DPIT20/DPIFF0</t>
  </si>
  <si>
    <t>PCO115D</t>
  </si>
  <si>
    <t>PCOF05D</t>
  </si>
  <si>
    <t>DP2216D</t>
  </si>
  <si>
    <t>CMSF05D</t>
  </si>
  <si>
    <t>BB02 lab</t>
  </si>
  <si>
    <t>AA01 lab</t>
  </si>
  <si>
    <t>AA02 lab</t>
  </si>
  <si>
    <r>
      <t xml:space="preserve">ONLY THEORY SESSION: </t>
    </r>
    <r>
      <rPr>
        <b/>
        <sz val="16"/>
        <color indexed="17"/>
        <rFont val="Arial"/>
        <family val="2"/>
      </rPr>
      <t>09:00 - 11:00</t>
    </r>
  </si>
  <si>
    <t>DCT115D / DCTF15D / DSM116D</t>
  </si>
  <si>
    <t>DPITF0/DPRS20/DPMC20/DPIT20/
DPMCF0/DPRSF0</t>
  </si>
  <si>
    <t>BFS115D</t>
  </si>
  <si>
    <t>BFSF15D</t>
  </si>
  <si>
    <t>EL2116D</t>
  </si>
  <si>
    <t>LOD216D</t>
  </si>
  <si>
    <t>EL1F05D</t>
  </si>
  <si>
    <t>EL2F06D</t>
  </si>
  <si>
    <t>ISC216D</t>
  </si>
  <si>
    <t>GMP216D</t>
  </si>
  <si>
    <t>10-G10 lab</t>
  </si>
  <si>
    <t>BUB216D</t>
  </si>
  <si>
    <t>VMA216D</t>
  </si>
  <si>
    <t>PLC216D</t>
  </si>
  <si>
    <t>AOP216D / AOR216D</t>
  </si>
  <si>
    <t>DPRS20/DPRSF0/DPMC20/DPMCF0/
DPIT20/DPITF0</t>
  </si>
  <si>
    <t>WEB115D</t>
  </si>
  <si>
    <t>DPRS20/DPMC20</t>
  </si>
  <si>
    <t>CAT116D</t>
  </si>
  <si>
    <t>DPIT20</t>
  </si>
  <si>
    <t>CGB115D</t>
  </si>
  <si>
    <t>DBB216D</t>
  </si>
  <si>
    <t>DE2F06D</t>
  </si>
  <si>
    <t>DE2116D</t>
  </si>
  <si>
    <t>DE1F05D</t>
  </si>
  <si>
    <t>SAT 30 AUG - SEM TEST WEEK 1: ADV DIPLOMA AND PGRAD DIPLOMA SESSION 2 - SEE SECOND SHEET FOR DETAIL</t>
  </si>
  <si>
    <t>SAT 6 SEPT - SEM TEST WEEK 1: ADV DIPLOMA AND PGRAD DIPLOMA SESSION 3 - SEE SECOND SHEET FOR DETAIL</t>
  </si>
  <si>
    <t>ARI216D</t>
  </si>
  <si>
    <t>EXTENDED FIRST YEAR SUBJECTS (F&amp;F UNIT)</t>
  </si>
  <si>
    <t>PPAF05D / TROF05D</t>
  </si>
  <si>
    <t>DPIFF0/DPMCF0/DPRSF0/DPITF0</t>
  </si>
  <si>
    <t>Will take part as Sem Test ?</t>
  </si>
  <si>
    <t>FYFU</t>
  </si>
  <si>
    <t>CFAF05D</t>
  </si>
  <si>
    <t>DPMCF0/DPRSF0</t>
  </si>
  <si>
    <t>CGAF05D</t>
  </si>
  <si>
    <t>Coordinator: M Dibetle</t>
  </si>
  <si>
    <t>CN1F05D</t>
  </si>
  <si>
    <t>COHF05D / CHOF05D</t>
  </si>
  <si>
    <t>Coordinator: K Mokgomole</t>
  </si>
  <si>
    <t>PROJECT SUBJECTS:</t>
  </si>
  <si>
    <t>PJT101B / (PCO115D - sem 2)</t>
  </si>
  <si>
    <t>CSE</t>
  </si>
  <si>
    <t>G</t>
  </si>
  <si>
    <t>S Adebusola</t>
  </si>
  <si>
    <t>Project - Will not Take Part</t>
  </si>
  <si>
    <t>ISD316D - sem 1</t>
  </si>
  <si>
    <t>C</t>
  </si>
  <si>
    <t>D Malebana</t>
  </si>
  <si>
    <t>PD1315D - sem 1</t>
  </si>
  <si>
    <t>V Masaba, D Matshiba</t>
  </si>
  <si>
    <t>SWP316D/DSO34BT - sem 1</t>
  </si>
  <si>
    <t>DPRS20/DPRSF0/SDT</t>
  </si>
  <si>
    <t>E</t>
  </si>
  <si>
    <t>D Chuene</t>
  </si>
  <si>
    <t>Project - To take part????</t>
  </si>
  <si>
    <t>Coordinator: FE Ntuli</t>
  </si>
  <si>
    <t>Coordinator: Q Magaseng</t>
  </si>
  <si>
    <t>Coordinator: C Coetzee</t>
  </si>
  <si>
    <t xml:space="preserve">Coordinator: WV Kambale </t>
  </si>
  <si>
    <t>CAPF05X / COEF05X</t>
  </si>
  <si>
    <t>Coordinator: M Popela</t>
  </si>
  <si>
    <r>
      <t xml:space="preserve">FIRST THEORY SESSION: </t>
    </r>
    <r>
      <rPr>
        <b/>
        <sz val="16"/>
        <color rgb="FF0070C0"/>
        <rFont val="Arial"/>
        <family val="2"/>
      </rPr>
      <t>09:00 - 11:00 (Theory)</t>
    </r>
  </si>
  <si>
    <r>
      <t xml:space="preserve">SECOND THEORY SESSION: </t>
    </r>
    <r>
      <rPr>
        <b/>
        <sz val="16"/>
        <color indexed="30"/>
        <rFont val="Arial"/>
        <family val="2"/>
      </rPr>
      <t>14:00 - 16:00 (Theory)</t>
    </r>
  </si>
  <si>
    <t>Ruth First Hall</t>
  </si>
  <si>
    <r>
      <t xml:space="preserve">FIRST THEORY SESSION: </t>
    </r>
    <r>
      <rPr>
        <b/>
        <sz val="16"/>
        <color indexed="30"/>
        <rFont val="Arial"/>
        <family val="2"/>
      </rPr>
      <t>09:00 - 11:00 (Theory)</t>
    </r>
  </si>
  <si>
    <t>T Netshisumbewa</t>
  </si>
  <si>
    <t>10-140 lab (110)</t>
  </si>
  <si>
    <t>T Malebane, J Jordaan</t>
  </si>
  <si>
    <t>10-170 lab (110)</t>
  </si>
  <si>
    <t>K Mogapi, L Sekhaolelo, T Raphiri</t>
  </si>
  <si>
    <t>10-L41 lab (110), 10-L44 lab (110), 10-240 lab (55)</t>
  </si>
  <si>
    <t>10-138 lab (110), 10-120 lab (110)</t>
  </si>
  <si>
    <t>10-170 lab (110),10-G34 lab (55)</t>
  </si>
  <si>
    <t>V Msimango</t>
  </si>
  <si>
    <t xml:space="preserve">Coordinator: V Booi </t>
  </si>
  <si>
    <t>T Nyawose, S Adebusola</t>
  </si>
  <si>
    <t>S Adebusola, S T Leholo</t>
  </si>
  <si>
    <t>I Machele</t>
  </si>
  <si>
    <t>TR Phihlela, P Msimanga, N Zuma, J Dehinbo</t>
  </si>
  <si>
    <t>A Khoza</t>
  </si>
  <si>
    <t>10-120 lab (110), 10-140 lab (110), 10-138 lab (110), 
10-170 lab (110), 10-L41 lab (110), 10-L44 lab (110),
10-232 lab (55), 10-233 lab (55), 10-240 lab (55),
10-246 lab (55), 10-248 lab (55)</t>
  </si>
  <si>
    <t>L  Sekhaolelo, F Hattingh, T Netshisumbewa,
Z Msiza, W Birch</t>
  </si>
  <si>
    <t>BT Mabunda, R Mokhari</t>
  </si>
  <si>
    <t>10-G20 lab (55), 10-G28 lab (55), 10-G29 lab (55)</t>
  </si>
  <si>
    <r>
      <t xml:space="preserve">FIRST PRACTICAL SESSION: </t>
    </r>
    <r>
      <rPr>
        <b/>
        <sz val="16"/>
        <color indexed="10"/>
        <rFont val="Arial"/>
        <family val="2"/>
      </rPr>
      <t>08:30 - 11:30 (Prac)</t>
    </r>
  </si>
  <si>
    <r>
      <t xml:space="preserve">SECOND PRACTICAL SESSION: </t>
    </r>
    <r>
      <rPr>
        <b/>
        <sz val="16"/>
        <color indexed="10"/>
        <rFont val="Arial"/>
        <family val="2"/>
      </rPr>
      <t>12:30 - 15:30 (Prac)</t>
    </r>
  </si>
  <si>
    <t>Coordinator: WV Kambale / K Tshehla</t>
  </si>
  <si>
    <t xml:space="preserve">Class Test </t>
  </si>
  <si>
    <t>10-120 lab (110), 10-140 lab (110), 10-138 lab (110), 
10-170 lab (110), 10-L41 lab (110), 10-L44 lab (110),
10-232 lab (55), 10-233 lab (55), 10-240 lab (55), 
10-246 lab (55), 10-248 lab (55), 10-G20 lab (55),
10-G28 lab (55), 10-G29 lab (55), 10-G34  lab (55), 
10-L21A lab (55), 10-L21B lab (55)</t>
  </si>
  <si>
    <r>
      <t xml:space="preserve">PPAF05D / TROF05D
</t>
    </r>
    <r>
      <rPr>
        <sz val="12"/>
        <color rgb="FFFF0000"/>
        <rFont val="Arial"/>
        <family val="2"/>
      </rPr>
      <t>(</t>
    </r>
    <r>
      <rPr>
        <b/>
        <sz val="12"/>
        <color rgb="FFFF0000"/>
        <rFont val="Arial"/>
        <family val="2"/>
      </rPr>
      <t>Session 1</t>
    </r>
    <r>
      <rPr>
        <sz val="12"/>
        <color rgb="FFFF0000"/>
        <rFont val="Arial"/>
        <family val="2"/>
      </rPr>
      <t>: e'Malahleni campus only - if necessary!)</t>
    </r>
  </si>
  <si>
    <r>
      <t xml:space="preserve">PPAF05D / TROF05D
</t>
    </r>
    <r>
      <rPr>
        <sz val="12"/>
        <color rgb="FFFF0000"/>
        <rFont val="Arial"/>
        <family val="2"/>
      </rPr>
      <t>(</t>
    </r>
    <r>
      <rPr>
        <b/>
        <sz val="12"/>
        <color rgb="FFFF0000"/>
        <rFont val="Arial"/>
        <family val="2"/>
      </rPr>
      <t>Session 2</t>
    </r>
    <r>
      <rPr>
        <sz val="12"/>
        <color rgb="FFFF0000"/>
        <rFont val="Arial"/>
        <family val="2"/>
      </rPr>
      <t>: All the campuses)</t>
    </r>
  </si>
  <si>
    <t xml:space="preserve">10-120 lab (110), 10-140 lab (110), 10-138 lab (110), 
10-L41 lab (110), 10-L44 lab (110), 10-L21B lab (55)
10-232 lab (55), 10-233 lab (55), 10-240 lab (55), 
10-246 lab (55), 10-248 lab (55), 10-G20 lab (55),
10-G28 lab (55), 10-G29 lab (55), 10-G34  lab (55), 
10-L21A lab (55), </t>
  </si>
  <si>
    <t>Class test</t>
  </si>
  <si>
    <r>
      <t xml:space="preserve">SECOND THEORY SESSION: </t>
    </r>
    <r>
      <rPr>
        <b/>
        <sz val="16"/>
        <color rgb="FF0070C0"/>
        <rFont val="Arial"/>
        <family val="2"/>
      </rPr>
      <t>11</t>
    </r>
    <r>
      <rPr>
        <b/>
        <sz val="16"/>
        <color theme="3" tint="0.499984740745262"/>
        <rFont val="Arial"/>
        <family val="2"/>
      </rPr>
      <t>:</t>
    </r>
    <r>
      <rPr>
        <b/>
        <sz val="16"/>
        <color indexed="30"/>
        <rFont val="Arial"/>
        <family val="2"/>
      </rPr>
      <t>30 - 13:30 (Theory)</t>
    </r>
  </si>
  <si>
    <r>
      <t>PPBF15D / PPB115D / PPGF15D / PPG115D
(</t>
    </r>
    <r>
      <rPr>
        <sz val="12"/>
        <color rgb="FFFF0000"/>
        <rFont val="Arial"/>
        <family val="2"/>
      </rPr>
      <t>All the campuses</t>
    </r>
    <r>
      <rPr>
        <sz val="12"/>
        <rFont val="Arial"/>
        <family val="2"/>
      </rPr>
      <t>)</t>
    </r>
  </si>
  <si>
    <r>
      <t xml:space="preserve">PPAF05D / TROF05D
</t>
    </r>
    <r>
      <rPr>
        <sz val="12"/>
        <color rgb="FFFF0000"/>
        <rFont val="Arial"/>
        <family val="2"/>
      </rPr>
      <t>(</t>
    </r>
    <r>
      <rPr>
        <b/>
        <sz val="12"/>
        <color rgb="FFFF0000"/>
        <rFont val="Arial"/>
        <family val="2"/>
      </rPr>
      <t>Session 1</t>
    </r>
    <r>
      <rPr>
        <sz val="12"/>
        <color rgb="FFFF0000"/>
        <rFont val="Arial"/>
        <family val="2"/>
      </rPr>
      <t>: All the campuses)</t>
    </r>
  </si>
  <si>
    <r>
      <t xml:space="preserve">PPAF05D / TROF05D
</t>
    </r>
    <r>
      <rPr>
        <sz val="12"/>
        <color rgb="FFFF0000"/>
        <rFont val="Arial"/>
        <family val="2"/>
      </rPr>
      <t>(</t>
    </r>
    <r>
      <rPr>
        <b/>
        <sz val="12"/>
        <color rgb="FFFF0000"/>
        <rFont val="Arial"/>
        <family val="2"/>
      </rPr>
      <t>Session 2</t>
    </r>
    <r>
      <rPr>
        <sz val="12"/>
        <color rgb="FFFF0000"/>
        <rFont val="Arial"/>
        <family val="2"/>
      </rPr>
      <t>: e'Malahleni campus only - if necessary!)</t>
    </r>
  </si>
  <si>
    <t>Semester Test 3</t>
  </si>
  <si>
    <t>Semester Test</t>
  </si>
  <si>
    <t>None</t>
  </si>
  <si>
    <t>SPECIAL SESSION 1: FRI 29 AUG</t>
  </si>
  <si>
    <r>
      <t xml:space="preserve">ONLY PRACTICAL SESSION: </t>
    </r>
    <r>
      <rPr>
        <b/>
        <sz val="16"/>
        <color indexed="10"/>
        <rFont val="Arial"/>
        <family val="2"/>
      </rPr>
      <t>13:00 - 16:00 (Prac)</t>
    </r>
  </si>
  <si>
    <t>K Stone</t>
  </si>
  <si>
    <t>10-170 lab</t>
  </si>
  <si>
    <t>Semester test</t>
  </si>
  <si>
    <r>
      <t xml:space="preserve">ONLY THEORY SESSION: </t>
    </r>
    <r>
      <rPr>
        <b/>
        <sz val="16"/>
        <color rgb="FF0070C0"/>
        <rFont val="Arial"/>
        <family val="2"/>
      </rPr>
      <t>09:00 - 11:00 (Theory)</t>
    </r>
  </si>
  <si>
    <r>
      <t xml:space="preserve">ONLY THEORY SESSION: </t>
    </r>
    <r>
      <rPr>
        <b/>
        <sz val="16"/>
        <color indexed="30"/>
        <rFont val="Arial"/>
        <family val="2"/>
      </rPr>
      <t>09:00 - 11:00 (Theory)</t>
    </r>
  </si>
  <si>
    <t>RD Mabena</t>
  </si>
  <si>
    <t>Ntsoane, Magudulela, IA Abraham-Samgeorge</t>
  </si>
  <si>
    <t>C Kgoetiane</t>
  </si>
  <si>
    <t>SP Maswikaneng</t>
  </si>
  <si>
    <t>E Letsoalo</t>
  </si>
  <si>
    <t>J Dehinbo, K Mogapi, TR Phihlela,
C Phiri, C Lepota, V Masuku, A Khoza</t>
  </si>
  <si>
    <t>Z Mapundu</t>
  </si>
  <si>
    <t>IA Abraham-Samgeorge, CH Kgoetiane</t>
  </si>
  <si>
    <t>T Kolobe</t>
  </si>
  <si>
    <t>K Mokgomole, BN Mahlangu, MR Shibambu</t>
  </si>
  <si>
    <t>TE Mathonsi (HoD)</t>
  </si>
  <si>
    <t>T Muchenje</t>
  </si>
  <si>
    <t>T Leholo, M Chauke</t>
  </si>
  <si>
    <t>D Alake, K Stone</t>
  </si>
  <si>
    <t>L Brand</t>
  </si>
  <si>
    <t>S Papi</t>
  </si>
  <si>
    <t>C Mogoloa, SM Mahlangu</t>
  </si>
  <si>
    <t>AM Segooa, TS Adeyelure, Ntsoane</t>
  </si>
  <si>
    <t>DD Malebana</t>
  </si>
  <si>
    <t>Z Mahlobogwane, I Machele</t>
  </si>
  <si>
    <t>T C Tshipota</t>
  </si>
  <si>
    <t>Z Mahlobogwane, T Kolobe</t>
  </si>
  <si>
    <t>T Matshiba</t>
  </si>
  <si>
    <t>T Tshilongamulenzhe</t>
  </si>
  <si>
    <t>AM Segooa, R Mogase, Magudulela</t>
  </si>
  <si>
    <t>N Khoza</t>
  </si>
  <si>
    <t>Magudulela TS</t>
  </si>
  <si>
    <t>CH Kgoetiane, Magudulela , Ntsoane</t>
  </si>
  <si>
    <t>C Nawej</t>
  </si>
  <si>
    <t>Dr N Nahri, M Kekane</t>
  </si>
  <si>
    <t>ADVANCED DIPLOMA</t>
  </si>
  <si>
    <t>Test Time</t>
  </si>
  <si>
    <t>Course</t>
  </si>
  <si>
    <t>Subject</t>
  </si>
  <si>
    <t>Subject Name</t>
  </si>
  <si>
    <t>Name</t>
  </si>
  <si>
    <t>Num Studs</t>
  </si>
  <si>
    <t>Test Venue(s)</t>
  </si>
  <si>
    <t>Comments</t>
  </si>
  <si>
    <t>Dept Computer Science:</t>
  </si>
  <si>
    <t>08:30 - 11:30</t>
  </si>
  <si>
    <t>ADRS20</t>
  </si>
  <si>
    <t>IDA117V</t>
  </si>
  <si>
    <t>Introduction to Data Science</t>
  </si>
  <si>
    <t>10-138 lab, 10-L44 lab</t>
  </si>
  <si>
    <t>ADMC20</t>
  </si>
  <si>
    <t>IMD117V</t>
  </si>
  <si>
    <t>Instructional Multimedia Design</t>
  </si>
  <si>
    <t>Dr. E Van Wyk</t>
  </si>
  <si>
    <t>14-G108 (120)</t>
  </si>
  <si>
    <t>Dept Computer Systems Engineering:</t>
  </si>
  <si>
    <t>ADYE20</t>
  </si>
  <si>
    <t>EER117V</t>
  </si>
  <si>
    <t xml:space="preserve">Engineering Ethics and Practices </t>
  </si>
  <si>
    <t>M Gwabavu</t>
  </si>
  <si>
    <t>14-1113 (170)</t>
  </si>
  <si>
    <t>CES117V</t>
  </si>
  <si>
    <t>Computer Emerging Techonologies</t>
  </si>
  <si>
    <t>K Rambau</t>
  </si>
  <si>
    <t>Dept Informatics:</t>
  </si>
  <si>
    <t>ADIF20</t>
  </si>
  <si>
    <t>IAR117V</t>
  </si>
  <si>
    <t>Information Systems Architecture</t>
  </si>
  <si>
    <t>Dr. Mamorobela</t>
  </si>
  <si>
    <t>14-1108 (223)</t>
  </si>
  <si>
    <t>ISR117V</t>
  </si>
  <si>
    <t>Information System Research</t>
  </si>
  <si>
    <t>Dr. A Segooa</t>
  </si>
  <si>
    <t>Dept Information Technology:</t>
  </si>
  <si>
    <t>ADIT21</t>
  </si>
  <si>
    <t>PNB117V</t>
  </si>
  <si>
    <t>Computer Networks IVB</t>
  </si>
  <si>
    <t>Ms PL Medupe</t>
  </si>
  <si>
    <t>14-G95 (170)</t>
  </si>
  <si>
    <t>Theory Total:</t>
  </si>
  <si>
    <t>POSTGRADUATE DIPLOMA</t>
  </si>
  <si>
    <t>Session</t>
  </si>
  <si>
    <t>PDRS21</t>
  </si>
  <si>
    <t>ACX118G</t>
  </si>
  <si>
    <t>Algorithms and Complexity</t>
  </si>
  <si>
    <t>10-G28 lab (55)</t>
  </si>
  <si>
    <t>PDMC21/PDRS21</t>
  </si>
  <si>
    <t>RMR118G/
RMC118G</t>
  </si>
  <si>
    <t>Research Methodologies</t>
  </si>
  <si>
    <t>PDYE21</t>
  </si>
  <si>
    <t>AIS118G</t>
  </si>
  <si>
    <t>Advanced Articial Intelligent</t>
  </si>
  <si>
    <t>PDIF21</t>
  </si>
  <si>
    <t>KWM118G</t>
  </si>
  <si>
    <t>Advanced Knowledge Management</t>
  </si>
  <si>
    <t>Dr. CH Kgoetiane</t>
  </si>
  <si>
    <t>ARP108G/
ARP118R</t>
  </si>
  <si>
    <t>Advanced Research Project</t>
  </si>
  <si>
    <t>Dr TJ Lavhengwa</t>
  </si>
  <si>
    <t>Project - Take Part?</t>
  </si>
  <si>
    <t>PDIT21</t>
  </si>
  <si>
    <t>CN1118G</t>
  </si>
  <si>
    <t>Computer Networks 501</t>
  </si>
  <si>
    <t>Khosa TN</t>
  </si>
  <si>
    <t>SDN118G</t>
  </si>
  <si>
    <t>Software Defined Networks 502</t>
  </si>
  <si>
    <t>10-G20 lab</t>
  </si>
  <si>
    <t>11:30 - 14:30</t>
  </si>
  <si>
    <t>DSD117V</t>
  </si>
  <si>
    <t>Distributed Programming</t>
  </si>
  <si>
    <t>GPR117V</t>
  </si>
  <si>
    <t>Advanced Games Programming</t>
  </si>
  <si>
    <t>L Baloyi</t>
  </si>
  <si>
    <t>EGD107V/ EGD117R</t>
  </si>
  <si>
    <t>Engineering Project Design</t>
  </si>
  <si>
    <t>SRG117V</t>
  </si>
  <si>
    <t xml:space="preserve">Systems Resources Management </t>
  </si>
  <si>
    <t>CAO117V</t>
  </si>
  <si>
    <t>Computer Architecture and Organisation</t>
  </si>
  <si>
    <t>M Mhlanga</t>
  </si>
  <si>
    <t>ITP117V</t>
  </si>
  <si>
    <t>Information Technology Project Management</t>
  </si>
  <si>
    <t>Mr MB Phurusti</t>
  </si>
  <si>
    <t>SIS117V</t>
  </si>
  <si>
    <t>Strategic Information Systems</t>
  </si>
  <si>
    <t>Ms Ramapuputla</t>
  </si>
  <si>
    <t>PNA117V</t>
  </si>
  <si>
    <t>Computer Networks IVA</t>
  </si>
  <si>
    <t>Mr E Letsoalo</t>
  </si>
  <si>
    <t>PDMC21</t>
  </si>
  <si>
    <t>ARI118G</t>
  </si>
  <si>
    <t>Artificial Intelligence</t>
  </si>
  <si>
    <t xml:space="preserve">DSC118G </t>
  </si>
  <si>
    <t>Data Science and Big Data Analytics</t>
  </si>
  <si>
    <t>RRS108G / MRP108G / RRS118R / MRP118R</t>
  </si>
  <si>
    <t>Research Project</t>
  </si>
  <si>
    <t>CNE118G</t>
  </si>
  <si>
    <t>Advanced Computer Networks</t>
  </si>
  <si>
    <t>RIF118G</t>
  </si>
  <si>
    <t>Research Methodology</t>
  </si>
  <si>
    <t>Dr TS Adeyelure</t>
  </si>
  <si>
    <t xml:space="preserve">DFO118G </t>
  </si>
  <si>
    <t>Digital Forensics V</t>
  </si>
  <si>
    <t>14:30 - 17:30</t>
  </si>
  <si>
    <t>TCR117V</t>
  </si>
  <si>
    <t>Theoretical Computer Science</t>
  </si>
  <si>
    <t>MPD117V</t>
  </si>
  <si>
    <t>Multimedia Project Design</t>
  </si>
  <si>
    <t xml:space="preserve">H Retief </t>
  </si>
  <si>
    <t>ISJ107V / ISJ117R</t>
  </si>
  <si>
    <t>Integrated Software Projects</t>
  </si>
  <si>
    <t>MCP107V</t>
  </si>
  <si>
    <t>Multimedia Project</t>
  </si>
  <si>
    <t>EBD117V</t>
  </si>
  <si>
    <t xml:space="preserve">Embedded Systems Design </t>
  </si>
  <si>
    <t>S Lefophane</t>
  </si>
  <si>
    <t>IIS117V</t>
  </si>
  <si>
    <t>Intelligent Industrial Systems</t>
  </si>
  <si>
    <t>WNE117V</t>
  </si>
  <si>
    <t>Wireless Networks IV</t>
  </si>
  <si>
    <t>TN Khosa</t>
  </si>
  <si>
    <t>Research Project IV</t>
  </si>
  <si>
    <t>Dr T Muchenje
(and G Komba)</t>
  </si>
  <si>
    <t>PDRS21 / PDMC21</t>
  </si>
  <si>
    <t xml:space="preserve">FRD118G </t>
  </si>
  <si>
    <t>Formal Aspects of Computing</t>
  </si>
  <si>
    <t>Dr. W Vambe</t>
  </si>
  <si>
    <t>VEA118G</t>
  </si>
  <si>
    <t xml:space="preserve"> Virtual Environment Application</t>
  </si>
  <si>
    <t>IDD108G / IDD118R</t>
  </si>
  <si>
    <t>Iindustrial Research Project</t>
  </si>
  <si>
    <t>Dr M Olaifa</t>
  </si>
  <si>
    <t>CES118G</t>
  </si>
  <si>
    <t>Computer Emerging Technologies</t>
  </si>
  <si>
    <t xml:space="preserve">SPG118G </t>
  </si>
  <si>
    <t>Security Policy and Governance 501</t>
  </si>
  <si>
    <t>Advanced Diploma / Postgraduate Diploma Semester Test 1 Timetable: 2025 Sem 2 - Final</t>
  </si>
  <si>
    <t>SAT 23 AUG SESSION 1 ((T) 08:30 - 11:30, (P) 08:30 - 11:30):</t>
  </si>
  <si>
    <t xml:space="preserve">SEMESTER TEST 1: </t>
  </si>
  <si>
    <t>SAT 30 AUG SESSION 2 ((P) 11:30 - 14:30, (T) 11:30-14:30):</t>
  </si>
  <si>
    <t>SAT 6 SEPT SESSION 3 ((T) 14:30 - 17:30, (P) 14:30-17:30):</t>
  </si>
  <si>
    <t>Dan Masethe/
Dr. TJ Ramabu</t>
  </si>
  <si>
    <t>Dr. RT Hans (HoD)</t>
  </si>
  <si>
    <t xml:space="preserve">Dr. D Chuene/
Dr. RT Hans </t>
  </si>
  <si>
    <t>Prof Du (HOD)</t>
  </si>
  <si>
    <t>Prof TE Mathonsi (HOD)</t>
  </si>
  <si>
    <t>Dr E Migabo /
Prof Du (HOD)</t>
  </si>
  <si>
    <t>Dan Masethe</t>
  </si>
  <si>
    <t>Dr AAK Buitendag /
Dr. R. Hans/
Dr. TJ Ramabu</t>
  </si>
  <si>
    <t>TE Mathonsi (HOD)</t>
  </si>
  <si>
    <t>Dr. TJ Ramabu / F Hattingh</t>
  </si>
  <si>
    <t>Dr. B Buitendag/ L Baloyi/
Dan Masethe/ Dr. TJ Ramabu"</t>
  </si>
  <si>
    <t>34</t>
  </si>
  <si>
    <t>RIT117V / RIT117R</t>
  </si>
  <si>
    <t>10-212 (80)</t>
  </si>
  <si>
    <t>10-232 lab, 10-170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</si>
</sst>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Aptos Narrow"/>
      <family val="2"/>
      <scheme val="minor"/>
    </font>
    <font>
      <b/>
      <sz val="22"/>
      <name val="Arial"/>
      <family val="2"/>
    </font>
    <font>
      <b/>
      <sz val="20"/>
      <name val="Arial"/>
      <family val="2"/>
    </font>
    <font>
      <b/>
      <sz val="12"/>
      <name val="Arial"/>
      <family val="2"/>
    </font>
    <font>
      <sz val="12"/>
      <name val="Arial"/>
      <family val="2"/>
    </font>
    <font>
      <b/>
      <sz val="16"/>
      <color rgb="FFFF0000"/>
      <name val="Arial"/>
      <family val="2"/>
    </font>
    <font>
      <sz val="12"/>
      <color indexed="10"/>
      <name val="Arial"/>
      <family val="2"/>
    </font>
    <font>
      <b/>
      <sz val="16"/>
      <name val="Arial"/>
      <family val="2"/>
    </font>
    <font>
      <b/>
      <sz val="16"/>
      <color indexed="10"/>
      <name val="Arial"/>
      <family val="2"/>
    </font>
    <font>
      <b/>
      <sz val="12"/>
      <color rgb="FFFF0000"/>
      <name val="Arial"/>
      <family val="2"/>
    </font>
    <font>
      <b/>
      <sz val="16"/>
      <color indexed="30"/>
      <name val="Arial"/>
      <family val="2"/>
    </font>
    <font>
      <strike/>
      <sz val="12"/>
      <name val="Arial"/>
      <family val="2"/>
    </font>
    <font>
      <b/>
      <strike/>
      <sz val="12"/>
      <name val="Arial"/>
      <family val="2"/>
    </font>
    <font>
      <sz val="12"/>
      <color indexed="17"/>
      <name val="Arial"/>
      <family val="2"/>
    </font>
    <font>
      <b/>
      <sz val="16"/>
      <color indexed="17"/>
      <name val="Arial"/>
      <family val="2"/>
    </font>
    <font>
      <b/>
      <sz val="11"/>
      <color theme="1"/>
      <name val="Aptos Narrow"/>
      <family val="2"/>
      <scheme val="minor"/>
    </font>
    <font>
      <b/>
      <sz val="20"/>
      <color rgb="FFFF0000"/>
      <name val="Arial"/>
      <family val="2"/>
    </font>
    <font>
      <sz val="12"/>
      <color rgb="FFFF0000"/>
      <name val="Arial"/>
      <family val="2"/>
    </font>
    <font>
      <b/>
      <sz val="16"/>
      <color theme="3" tint="0.499984740745262"/>
      <name val="Arial"/>
      <family val="2"/>
    </font>
    <font>
      <b/>
      <sz val="16"/>
      <color rgb="FF0070C0"/>
      <name val="Arial"/>
      <family val="2"/>
    </font>
    <font>
      <b/>
      <sz val="12"/>
      <color theme="3" tint="0.499984740745262"/>
      <name val="Arial"/>
      <family val="2"/>
    </font>
    <font>
      <b/>
      <sz val="12"/>
      <color rgb="FF0070C0"/>
      <name val="Arial"/>
      <family val="2"/>
    </font>
    <font>
      <b/>
      <sz val="15"/>
      <name val="Arial"/>
      <family val="2"/>
    </font>
    <font>
      <b/>
      <sz val="18"/>
      <color rgb="FFFF0000"/>
      <name val="Arial"/>
      <family val="2"/>
    </font>
    <font>
      <b/>
      <sz val="10"/>
      <color rgb="FFFF0000"/>
      <name val="ARIAL"/>
      <family val="2"/>
    </font>
    <font>
      <b/>
      <sz val="10"/>
      <name val="Arial"/>
      <family val="2"/>
    </font>
    <font>
      <sz val="10"/>
      <name val="Arial"/>
      <family val="2"/>
    </font>
    <font>
      <b/>
      <sz val="14"/>
      <name val="Arial"/>
      <family val="2"/>
    </font>
    <font>
      <b/>
      <sz val="16"/>
      <color theme="1"/>
      <name val="Aptos Narrow"/>
      <family val="2"/>
      <scheme val="minor"/>
    </font>
    <font>
      <sz val="8"/>
      <name val="Arial"/>
      <family val="2"/>
    </font>
    <font>
      <sz val="8"/>
      <color theme="1"/>
      <name val="Arial"/>
      <family val="2"/>
    </font>
    <font>
      <sz val="8"/>
      <color rgb="FF000000"/>
      <name val="Arial"/>
      <family val="2"/>
    </font>
    <font>
      <b/>
      <sz val="8"/>
      <color rgb="FFFF0000"/>
      <name val="Arial"/>
      <family val="2"/>
    </font>
    <font>
      <b/>
      <sz val="11"/>
      <name val="Aptos Narrow"/>
      <family val="2"/>
      <scheme val="minor"/>
    </font>
    <font>
      <b/>
      <sz val="8"/>
      <name val="Arial"/>
      <family val="2"/>
    </font>
    <font>
      <b/>
      <sz val="9"/>
      <color rgb="FFFF0000"/>
      <name val="Arial"/>
      <family val="2"/>
    </font>
    <font>
      <b/>
      <sz val="8"/>
      <color theme="1"/>
      <name val="Arial"/>
      <family val="2"/>
    </font>
    <font>
      <sz val="8"/>
      <color theme="1"/>
      <name val="Aptos Narrow"/>
      <family val="2"/>
      <scheme val="minor"/>
    </font>
    <font>
      <sz val="16"/>
      <name val="Arial"/>
      <family val="2"/>
    </font>
    <font>
      <sz val="8"/>
      <color rgb="FFC00000"/>
      <name val="Arial"/>
      <family val="2"/>
    </font>
  </fonts>
  <fills count="16">
    <fill>
      <patternFill patternType="none"/>
    </fill>
    <fill>
      <patternFill patternType="gray125"/>
    </fill>
    <fill>
      <patternFill patternType="solid">
        <fgColor rgb="FFFFC000"/>
        <bgColor indexed="64"/>
      </patternFill>
    </fill>
    <fill>
      <patternFill patternType="solid">
        <fgColor theme="5" tint="0.59999389629810485"/>
        <bgColor indexed="64"/>
      </patternFill>
    </fill>
    <fill>
      <patternFill patternType="solid">
        <fgColor theme="0"/>
        <bgColor indexed="64"/>
      </patternFill>
    </fill>
    <fill>
      <patternFill patternType="solid">
        <fgColor indexed="2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FF66FF"/>
        <bgColor indexed="64"/>
      </patternFill>
    </fill>
    <fill>
      <patternFill patternType="solid">
        <fgColor theme="3" tint="0.79998168889431442"/>
        <bgColor indexed="64"/>
      </patternFill>
    </fill>
    <fill>
      <patternFill patternType="solid">
        <fgColor rgb="FF99FF33"/>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7" tint="0.59999389629810485"/>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medium">
        <color indexed="64"/>
      </right>
      <top/>
      <bottom/>
      <diagonal/>
    </border>
  </borders>
  <cellStyleXfs count="2">
    <xf numFmtId="0" fontId="0" fillId="0" borderId="0"/>
    <xf numFmtId="0" fontId="26" fillId="0" borderId="0"/>
  </cellStyleXfs>
  <cellXfs count="480">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2" fillId="0" borderId="0" xfId="0" applyFont="1"/>
    <xf numFmtId="0" fontId="2" fillId="2" borderId="1" xfId="0" applyFont="1" applyFill="1" applyBorder="1"/>
    <xf numFmtId="0" fontId="2" fillId="2" borderId="1" xfId="0" applyFont="1" applyFill="1" applyBorder="1" applyAlignment="1">
      <alignment horizontal="center"/>
    </xf>
    <xf numFmtId="0" fontId="3" fillId="2" borderId="1" xfId="0" applyFont="1" applyFill="1" applyBorder="1" applyAlignment="1">
      <alignment horizontal="center" vertical="center"/>
    </xf>
    <xf numFmtId="0" fontId="4" fillId="2" borderId="1" xfId="0" applyFont="1" applyFill="1" applyBorder="1"/>
    <xf numFmtId="0" fontId="5" fillId="2" borderId="1" xfId="0" applyFont="1" applyFill="1" applyBorder="1" applyAlignment="1">
      <alignment horizontal="center"/>
    </xf>
    <xf numFmtId="0" fontId="4" fillId="0" borderId="1" xfId="0" quotePrefix="1" applyFont="1" applyBorder="1" applyAlignment="1">
      <alignment horizontal="center"/>
    </xf>
    <xf numFmtId="0" fontId="6" fillId="0" borderId="1" xfId="0" applyFont="1" applyBorder="1"/>
    <xf numFmtId="0" fontId="4" fillId="0" borderId="1" xfId="0" applyFont="1" applyBorder="1"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wrapText="1"/>
    </xf>
    <xf numFmtId="0" fontId="3" fillId="3" borderId="1" xfId="0" applyFont="1" applyFill="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9"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5" fillId="0" borderId="1" xfId="0" applyFont="1" applyBorder="1" applyAlignment="1">
      <alignment horizontal="center"/>
    </xf>
    <xf numFmtId="0" fontId="3" fillId="0" borderId="1" xfId="0" applyFont="1" applyBorder="1" applyAlignment="1">
      <alignment horizontal="left"/>
    </xf>
    <xf numFmtId="0" fontId="3" fillId="4" borderId="1" xfId="0" applyFont="1" applyFill="1" applyBorder="1" applyAlignment="1">
      <alignment horizontal="left"/>
    </xf>
    <xf numFmtId="0" fontId="3" fillId="4" borderId="1" xfId="0" applyFont="1" applyFill="1" applyBorder="1" applyAlignment="1">
      <alignment horizontal="left" wrapText="1"/>
    </xf>
    <xf numFmtId="0" fontId="3" fillId="4" borderId="1" xfId="0" applyFont="1" applyFill="1" applyBorder="1" applyAlignment="1">
      <alignment horizontal="center" vertical="center"/>
    </xf>
    <xf numFmtId="0" fontId="3" fillId="0" borderId="1" xfId="0" applyFont="1" applyBorder="1" applyAlignment="1">
      <alignment horizontal="left" wrapText="1"/>
    </xf>
    <xf numFmtId="0" fontId="9" fillId="0" borderId="1" xfId="0" applyFont="1" applyBorder="1" applyAlignment="1">
      <alignment horizontal="center"/>
    </xf>
    <xf numFmtId="0" fontId="3" fillId="5" borderId="1" xfId="0" applyFont="1" applyFill="1" applyBorder="1" applyAlignment="1">
      <alignment horizontal="left"/>
    </xf>
    <xf numFmtId="0" fontId="3" fillId="5" borderId="1" xfId="0" applyFont="1" applyFill="1" applyBorder="1" applyAlignment="1">
      <alignment horizontal="center"/>
    </xf>
    <xf numFmtId="0" fontId="3" fillId="5" borderId="1" xfId="0" applyFont="1" applyFill="1" applyBorder="1" applyAlignment="1">
      <alignment horizontal="center" wrapText="1"/>
    </xf>
    <xf numFmtId="0" fontId="3" fillId="6" borderId="1" xfId="0" applyFont="1" applyFill="1" applyBorder="1" applyAlignment="1">
      <alignment horizontal="center" vertical="center"/>
    </xf>
    <xf numFmtId="0" fontId="4" fillId="5" borderId="1" xfId="0" applyFont="1" applyFill="1" applyBorder="1" applyAlignment="1">
      <alignment horizontal="left"/>
    </xf>
    <xf numFmtId="0" fontId="9" fillId="7" borderId="1" xfId="0" applyFont="1" applyFill="1" applyBorder="1" applyAlignment="1">
      <alignment horizontal="center"/>
    </xf>
    <xf numFmtId="0" fontId="4" fillId="0" borderId="2" xfId="0" applyFont="1" applyBorder="1"/>
    <xf numFmtId="0" fontId="4" fillId="4" borderId="2" xfId="0" applyFont="1" applyFill="1" applyBorder="1"/>
    <xf numFmtId="0" fontId="4" fillId="0" borderId="1" xfId="0" applyFont="1" applyBorder="1" applyAlignment="1">
      <alignment horizontal="center" vertical="center"/>
    </xf>
    <xf numFmtId="0" fontId="3" fillId="4" borderId="1" xfId="0" applyFont="1" applyFill="1" applyBorder="1" applyAlignment="1">
      <alignment horizontal="center" vertical="center" wrapText="1"/>
    </xf>
    <xf numFmtId="0" fontId="4" fillId="0" borderId="1" xfId="0" applyFont="1" applyBorder="1" applyAlignment="1">
      <alignment horizontal="left" vertical="center"/>
    </xf>
    <xf numFmtId="0" fontId="4" fillId="4" borderId="1" xfId="0" applyFont="1" applyFill="1" applyBorder="1" applyAlignment="1">
      <alignment horizontal="left"/>
    </xf>
    <xf numFmtId="0" fontId="3" fillId="4" borderId="1" xfId="0" applyFont="1" applyFill="1" applyBorder="1" applyAlignment="1">
      <alignment horizontal="center"/>
    </xf>
    <xf numFmtId="0" fontId="4" fillId="4" borderId="1" xfId="0" applyFont="1" applyFill="1" applyBorder="1" applyAlignment="1">
      <alignment horizontal="center" vertical="center"/>
    </xf>
    <xf numFmtId="0" fontId="4" fillId="4" borderId="1" xfId="0" applyFont="1" applyFill="1" applyBorder="1" applyAlignment="1">
      <alignment horizontal="left" wrapText="1"/>
    </xf>
    <xf numFmtId="0" fontId="4" fillId="4" borderId="1" xfId="0" applyFont="1" applyFill="1" applyBorder="1" applyAlignment="1">
      <alignment horizontal="left" vertical="center"/>
    </xf>
    <xf numFmtId="0" fontId="4" fillId="0" borderId="1" xfId="0" applyFont="1" applyBorder="1" applyAlignment="1">
      <alignment vertical="center"/>
    </xf>
    <xf numFmtId="0" fontId="4" fillId="0" borderId="1" xfId="0" applyFont="1" applyBorder="1" applyAlignment="1">
      <alignment horizontal="left" vertical="center" wrapText="1"/>
    </xf>
    <xf numFmtId="0" fontId="3" fillId="8" borderId="1" xfId="0" applyFont="1" applyFill="1" applyBorder="1" applyAlignment="1">
      <alignment horizontal="center" wrapText="1"/>
    </xf>
    <xf numFmtId="0" fontId="9" fillId="8" borderId="1" xfId="0" applyFont="1" applyFill="1" applyBorder="1" applyAlignment="1">
      <alignment horizontal="center" vertical="center"/>
    </xf>
    <xf numFmtId="0" fontId="4" fillId="5" borderId="1" xfId="0" applyFont="1" applyFill="1" applyBorder="1" applyAlignment="1">
      <alignment horizontal="center"/>
    </xf>
    <xf numFmtId="0" fontId="4" fillId="5" borderId="1" xfId="0" applyFont="1" applyFill="1" applyBorder="1" applyAlignment="1">
      <alignment horizontal="center" wrapText="1"/>
    </xf>
    <xf numFmtId="0" fontId="4" fillId="4" borderId="3" xfId="0" applyFont="1" applyFill="1" applyBorder="1" applyAlignment="1">
      <alignment horizontal="left"/>
    </xf>
    <xf numFmtId="0" fontId="4" fillId="0" borderId="3" xfId="0" applyFont="1" applyBorder="1"/>
    <xf numFmtId="0" fontId="4" fillId="0" borderId="1" xfId="0" applyFont="1" applyBorder="1"/>
    <xf numFmtId="0" fontId="4" fillId="4" borderId="1" xfId="0" applyFont="1" applyFill="1" applyBorder="1" applyAlignment="1">
      <alignment vertical="center" wrapText="1"/>
    </xf>
    <xf numFmtId="0" fontId="11" fillId="4" borderId="1" xfId="0" applyFont="1" applyFill="1" applyBorder="1" applyAlignment="1">
      <alignment horizontal="left" vertical="center"/>
    </xf>
    <xf numFmtId="0" fontId="12" fillId="4" borderId="1" xfId="0" applyFont="1" applyFill="1" applyBorder="1" applyAlignment="1">
      <alignment horizontal="center" vertical="center" wrapText="1"/>
    </xf>
    <xf numFmtId="0" fontId="9" fillId="0" borderId="0" xfId="0" applyFont="1" applyAlignment="1">
      <alignment horizontal="center"/>
    </xf>
    <xf numFmtId="0" fontId="4" fillId="0" borderId="0" xfId="0" applyFont="1"/>
    <xf numFmtId="0" fontId="3" fillId="0" borderId="0" xfId="0" applyFont="1" applyAlignment="1">
      <alignment horizontal="center"/>
    </xf>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0" fontId="11" fillId="0" borderId="0" xfId="0" applyFont="1"/>
    <xf numFmtId="0" fontId="4" fillId="0" borderId="0" xfId="0" applyFont="1" applyAlignment="1">
      <alignment vertical="center"/>
    </xf>
    <xf numFmtId="0" fontId="3" fillId="4" borderId="3" xfId="0" applyFont="1" applyFill="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4" fillId="4" borderId="1" xfId="0" applyFont="1" applyFill="1" applyBorder="1" applyAlignment="1">
      <alignment horizontal="center"/>
    </xf>
    <xf numFmtId="0" fontId="7" fillId="9" borderId="4" xfId="0" applyFont="1" applyFill="1" applyBorder="1" applyAlignment="1">
      <alignment horizontal="left"/>
    </xf>
    <xf numFmtId="0" fontId="0" fillId="9" borderId="5" xfId="0" applyFill="1" applyBorder="1"/>
    <xf numFmtId="0" fontId="0" fillId="9" borderId="6" xfId="0" applyFill="1" applyBorder="1"/>
    <xf numFmtId="0" fontId="4" fillId="9" borderId="1" xfId="0" applyFont="1" applyFill="1" applyBorder="1" applyAlignment="1">
      <alignment horizontal="center"/>
    </xf>
    <xf numFmtId="0" fontId="3" fillId="9" borderId="1" xfId="0" applyFont="1" applyFill="1" applyBorder="1" applyAlignment="1">
      <alignment horizontal="center" vertical="center" wrapText="1"/>
    </xf>
    <xf numFmtId="0" fontId="4" fillId="9" borderId="1" xfId="0" applyFont="1" applyFill="1" applyBorder="1" applyAlignment="1">
      <alignment horizontal="center" wrapText="1"/>
    </xf>
    <xf numFmtId="0" fontId="4" fillId="9" borderId="1" xfId="0" applyFont="1" applyFill="1" applyBorder="1"/>
    <xf numFmtId="0" fontId="7" fillId="4" borderId="4" xfId="0" applyFont="1" applyFill="1" applyBorder="1" applyAlignment="1">
      <alignment horizontal="left"/>
    </xf>
    <xf numFmtId="0" fontId="0" fillId="4" borderId="5" xfId="0" applyFill="1" applyBorder="1"/>
    <xf numFmtId="0" fontId="4" fillId="4" borderId="1" xfId="0" applyFont="1" applyFill="1" applyBorder="1" applyAlignment="1">
      <alignment horizontal="center" wrapText="1"/>
    </xf>
    <xf numFmtId="0" fontId="4" fillId="4" borderId="1" xfId="0" applyFont="1" applyFill="1" applyBorder="1"/>
    <xf numFmtId="0" fontId="4" fillId="4" borderId="0" xfId="0" applyFont="1" applyFill="1"/>
    <xf numFmtId="0" fontId="9" fillId="10" borderId="1" xfId="0" applyFont="1" applyFill="1" applyBorder="1" applyAlignment="1">
      <alignment horizontal="center"/>
    </xf>
    <xf numFmtId="0" fontId="4" fillId="4" borderId="1" xfId="0" quotePrefix="1" applyFont="1" applyFill="1" applyBorder="1" applyAlignment="1">
      <alignment vertical="top"/>
    </xf>
    <xf numFmtId="0" fontId="13" fillId="4" borderId="1" xfId="0" applyFont="1" applyFill="1" applyBorder="1" applyAlignment="1">
      <alignment horizontal="left"/>
    </xf>
    <xf numFmtId="0" fontId="4" fillId="4" borderId="3" xfId="0" applyFont="1" applyFill="1" applyBorder="1" applyAlignment="1">
      <alignment horizontal="center" wrapText="1"/>
    </xf>
    <xf numFmtId="0" fontId="3" fillId="4" borderId="1" xfId="0" applyFont="1" applyFill="1" applyBorder="1" applyAlignment="1">
      <alignment horizontal="center" wrapText="1"/>
    </xf>
    <xf numFmtId="0" fontId="3" fillId="4" borderId="5" xfId="0" applyFont="1" applyFill="1" applyBorder="1" applyAlignment="1">
      <alignment horizontal="center"/>
    </xf>
    <xf numFmtId="0" fontId="9" fillId="4" borderId="1" xfId="0" applyFont="1" applyFill="1" applyBorder="1" applyAlignment="1">
      <alignment horizontal="center"/>
    </xf>
    <xf numFmtId="0" fontId="4" fillId="4" borderId="3" xfId="0" applyFont="1" applyFill="1" applyBorder="1" applyAlignment="1">
      <alignment horizontal="center"/>
    </xf>
    <xf numFmtId="0" fontId="3" fillId="4" borderId="3" xfId="0" applyFont="1" applyFill="1" applyBorder="1" applyAlignment="1">
      <alignment horizontal="center"/>
    </xf>
    <xf numFmtId="0" fontId="3" fillId="4" borderId="3" xfId="0" applyFont="1" applyFill="1" applyBorder="1" applyAlignment="1">
      <alignment vertical="center" wrapText="1"/>
    </xf>
    <xf numFmtId="0" fontId="9" fillId="4" borderId="3" xfId="0" applyFont="1" applyFill="1" applyBorder="1" applyAlignment="1">
      <alignment horizontal="center" vertical="center"/>
    </xf>
    <xf numFmtId="0" fontId="3" fillId="4" borderId="11" xfId="0" applyFont="1" applyFill="1" applyBorder="1" applyAlignment="1">
      <alignment horizontal="center" vertical="center"/>
    </xf>
    <xf numFmtId="0" fontId="9" fillId="4" borderId="1" xfId="0" applyFont="1" applyFill="1" applyBorder="1" applyAlignment="1">
      <alignment horizontal="center" wrapText="1"/>
    </xf>
    <xf numFmtId="0" fontId="4" fillId="8" borderId="1" xfId="0" applyFont="1" applyFill="1" applyBorder="1"/>
    <xf numFmtId="0" fontId="3" fillId="8" borderId="1" xfId="0" applyFont="1" applyFill="1" applyBorder="1" applyAlignment="1">
      <alignment horizontal="left"/>
    </xf>
    <xf numFmtId="0" fontId="3" fillId="8" borderId="1" xfId="0" applyFont="1" applyFill="1" applyBorder="1" applyAlignment="1">
      <alignment horizontal="left" wrapText="1"/>
    </xf>
    <xf numFmtId="0" fontId="3" fillId="8" borderId="1" xfId="0" applyFont="1" applyFill="1" applyBorder="1" applyAlignment="1">
      <alignment horizontal="center" vertical="center"/>
    </xf>
    <xf numFmtId="0" fontId="3" fillId="8" borderId="1" xfId="0" applyFont="1" applyFill="1" applyBorder="1" applyAlignment="1">
      <alignment horizontal="center"/>
    </xf>
    <xf numFmtId="0" fontId="4" fillId="8" borderId="1" xfId="0" applyFont="1" applyFill="1" applyBorder="1" applyAlignment="1">
      <alignment horizontal="center"/>
    </xf>
    <xf numFmtId="0" fontId="4" fillId="8" borderId="1" xfId="0" applyFont="1" applyFill="1" applyBorder="1" applyAlignment="1">
      <alignment horizontal="center" wrapText="1"/>
    </xf>
    <xf numFmtId="0" fontId="4" fillId="8" borderId="1" xfId="0" quotePrefix="1" applyFont="1" applyFill="1" applyBorder="1" applyAlignment="1">
      <alignment horizontal="center" vertical="center"/>
    </xf>
    <xf numFmtId="0" fontId="4" fillId="8" borderId="1" xfId="0" applyFont="1" applyFill="1" applyBorder="1" applyAlignment="1">
      <alignment horizontal="left" vertical="center"/>
    </xf>
    <xf numFmtId="0" fontId="4" fillId="8" borderId="1" xfId="0" applyFont="1" applyFill="1" applyBorder="1" applyAlignment="1">
      <alignment vertical="center"/>
    </xf>
    <xf numFmtId="0" fontId="4" fillId="8"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4" fillId="0" borderId="0" xfId="0" applyFont="1" applyAlignment="1">
      <alignment horizontal="center"/>
    </xf>
    <xf numFmtId="0" fontId="4" fillId="0" borderId="0" xfId="0" applyFont="1" applyAlignment="1">
      <alignment horizontal="center" wrapText="1"/>
    </xf>
    <xf numFmtId="0" fontId="11" fillId="0" borderId="1" xfId="0" applyFont="1" applyBorder="1" applyAlignment="1">
      <alignment horizontal="left" vertical="center"/>
    </xf>
    <xf numFmtId="0" fontId="4" fillId="0" borderId="3" xfId="0" applyFont="1" applyBorder="1" applyAlignment="1">
      <alignment horizontal="left"/>
    </xf>
    <xf numFmtId="0" fontId="4" fillId="4" borderId="1" xfId="0" applyFont="1" applyFill="1" applyBorder="1" applyAlignment="1">
      <alignment vertical="center"/>
    </xf>
    <xf numFmtId="0" fontId="3" fillId="4" borderId="3" xfId="0" applyFont="1" applyFill="1" applyBorder="1" applyAlignment="1">
      <alignment horizontal="left"/>
    </xf>
    <xf numFmtId="0" fontId="4" fillId="11" borderId="1" xfId="0" quotePrefix="1" applyFont="1" applyFill="1" applyBorder="1" applyAlignment="1">
      <alignment horizontal="center" vertical="center"/>
    </xf>
    <xf numFmtId="0" fontId="4" fillId="4" borderId="1" xfId="0" quotePrefix="1" applyFont="1" applyFill="1" applyBorder="1" applyAlignment="1">
      <alignment horizontal="center" vertical="center"/>
    </xf>
    <xf numFmtId="0" fontId="4" fillId="6" borderId="1" xfId="0" applyFont="1" applyFill="1" applyBorder="1" applyAlignment="1">
      <alignment vertical="center"/>
    </xf>
    <xf numFmtId="0" fontId="4" fillId="6" borderId="1" xfId="0" applyFont="1" applyFill="1" applyBorder="1" applyAlignment="1">
      <alignment vertical="center" wrapText="1"/>
    </xf>
    <xf numFmtId="0" fontId="4" fillId="6" borderId="1" xfId="0" applyFont="1" applyFill="1" applyBorder="1" applyAlignment="1">
      <alignment horizontal="left" vertical="center"/>
    </xf>
    <xf numFmtId="0" fontId="4" fillId="8" borderId="1" xfId="0" applyFont="1" applyFill="1" applyBorder="1" applyAlignment="1">
      <alignment vertical="center" wrapText="1"/>
    </xf>
    <xf numFmtId="0" fontId="2" fillId="12" borderId="1" xfId="0" applyFont="1" applyFill="1" applyBorder="1"/>
    <xf numFmtId="0" fontId="2" fillId="12" borderId="1" xfId="0" applyFont="1" applyFill="1" applyBorder="1" applyAlignment="1">
      <alignment horizontal="center"/>
    </xf>
    <xf numFmtId="0" fontId="3" fillId="12" borderId="1" xfId="0" applyFont="1" applyFill="1" applyBorder="1" applyAlignment="1">
      <alignment horizontal="center" vertical="center"/>
    </xf>
    <xf numFmtId="0" fontId="4" fillId="12" borderId="1" xfId="0" applyFont="1" applyFill="1" applyBorder="1"/>
    <xf numFmtId="0" fontId="5" fillId="12" borderId="1" xfId="0" applyFont="1" applyFill="1" applyBorder="1" applyAlignment="1">
      <alignment horizontal="center"/>
    </xf>
    <xf numFmtId="0" fontId="4" fillId="11" borderId="1" xfId="0" applyFont="1" applyFill="1" applyBorder="1" applyAlignment="1">
      <alignment vertical="center" wrapText="1"/>
    </xf>
    <xf numFmtId="0" fontId="4" fillId="0" borderId="1" xfId="0" applyFont="1" applyBorder="1" applyAlignment="1">
      <alignment horizontal="center" vertical="top"/>
    </xf>
    <xf numFmtId="0" fontId="6" fillId="0" borderId="1" xfId="0" applyFont="1" applyBorder="1" applyAlignment="1">
      <alignment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center" wrapText="1"/>
    </xf>
    <xf numFmtId="0" fontId="4" fillId="0" borderId="1" xfId="0" quotePrefix="1" applyFont="1" applyBorder="1" applyAlignment="1">
      <alignment vertical="center"/>
    </xf>
    <xf numFmtId="0" fontId="4" fillId="0" borderId="1" xfId="0" applyFont="1" applyBorder="1" applyAlignment="1">
      <alignment vertical="center" wrapText="1"/>
    </xf>
    <xf numFmtId="0" fontId="4" fillId="6" borderId="1" xfId="0" applyFont="1" applyFill="1" applyBorder="1" applyAlignment="1">
      <alignment horizontal="right" vertical="top"/>
    </xf>
    <xf numFmtId="0" fontId="4" fillId="6" borderId="1" xfId="0" applyFont="1" applyFill="1" applyBorder="1"/>
    <xf numFmtId="0" fontId="4" fillId="6" borderId="1" xfId="0" applyFont="1" applyFill="1" applyBorder="1" applyAlignment="1">
      <alignment horizontal="center"/>
    </xf>
    <xf numFmtId="0" fontId="9" fillId="6" borderId="1" xfId="0" applyFont="1" applyFill="1" applyBorder="1" applyAlignment="1">
      <alignment horizontal="center"/>
    </xf>
    <xf numFmtId="0" fontId="4" fillId="6" borderId="1" xfId="0" applyFont="1" applyFill="1" applyBorder="1" applyAlignment="1">
      <alignment vertical="top" wrapText="1"/>
    </xf>
    <xf numFmtId="0" fontId="9" fillId="6" borderId="1" xfId="0" applyFont="1" applyFill="1" applyBorder="1" applyAlignment="1">
      <alignment horizontal="center" vertical="center"/>
    </xf>
    <xf numFmtId="0" fontId="17" fillId="0" borderId="1" xfId="0" applyFont="1" applyBorder="1" applyAlignment="1">
      <alignment vertical="center"/>
    </xf>
    <xf numFmtId="0" fontId="17" fillId="0" borderId="1" xfId="0" applyFont="1" applyBorder="1" applyAlignment="1">
      <alignment vertical="center" wrapText="1"/>
    </xf>
    <xf numFmtId="0" fontId="9" fillId="0" borderId="1" xfId="0" applyFont="1" applyBorder="1" applyAlignment="1">
      <alignment horizontal="center" vertical="center"/>
    </xf>
    <xf numFmtId="0" fontId="4" fillId="0" borderId="1" xfId="0" applyFont="1" applyBorder="1" applyAlignment="1">
      <alignment horizontal="left" wrapText="1"/>
    </xf>
    <xf numFmtId="0" fontId="3"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3" fillId="0" borderId="1" xfId="0" applyFont="1" applyBorder="1" applyAlignment="1">
      <alignment horizontal="left" vertical="center"/>
    </xf>
    <xf numFmtId="0" fontId="20" fillId="4"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3" fillId="8" borderId="4" xfId="0" applyFont="1" applyFill="1" applyBorder="1" applyAlignment="1">
      <alignment horizontal="left"/>
    </xf>
    <xf numFmtId="0" fontId="9" fillId="8" borderId="1" xfId="0" applyFont="1" applyFill="1" applyBorder="1" applyAlignment="1">
      <alignment horizontal="center"/>
    </xf>
    <xf numFmtId="0" fontId="4" fillId="8" borderId="4" xfId="0" applyFont="1" applyFill="1" applyBorder="1" applyAlignment="1">
      <alignment horizontal="left"/>
    </xf>
    <xf numFmtId="0" fontId="4" fillId="6" borderId="1" xfId="0" applyFont="1" applyFill="1" applyBorder="1" applyAlignment="1">
      <alignment horizontal="center" wrapText="1"/>
    </xf>
    <xf numFmtId="0" fontId="7" fillId="0" borderId="0" xfId="0" applyFont="1"/>
    <xf numFmtId="0" fontId="0" fillId="0" borderId="0" xfId="0" applyAlignment="1">
      <alignment horizontal="center"/>
    </xf>
    <xf numFmtId="0" fontId="3" fillId="0" borderId="16" xfId="0" applyFont="1" applyBorder="1"/>
    <xf numFmtId="0" fontId="3" fillId="0" borderId="17" xfId="0" applyFont="1" applyBorder="1" applyAlignment="1">
      <alignment horizontal="left"/>
    </xf>
    <xf numFmtId="0" fontId="3" fillId="0" borderId="0" xfId="0" applyFont="1" applyAlignment="1">
      <alignment horizontal="left"/>
    </xf>
    <xf numFmtId="0" fontId="23" fillId="0" borderId="14" xfId="0" applyFont="1" applyBorder="1" applyAlignment="1">
      <alignment horizontal="center"/>
    </xf>
    <xf numFmtId="0" fontId="0" fillId="0" borderId="15" xfId="0" applyBorder="1"/>
    <xf numFmtId="0" fontId="25" fillId="0" borderId="20" xfId="0" applyFont="1" applyBorder="1"/>
    <xf numFmtId="0" fontId="26" fillId="0" borderId="21" xfId="0" applyFont="1" applyBorder="1"/>
    <xf numFmtId="0" fontId="26" fillId="0" borderId="0" xfId="0" applyFont="1"/>
    <xf numFmtId="0" fontId="26" fillId="0" borderId="0" xfId="0" applyFont="1" applyAlignment="1">
      <alignment horizontal="center"/>
    </xf>
    <xf numFmtId="0" fontId="26" fillId="0" borderId="22" xfId="0" applyFont="1" applyBorder="1"/>
    <xf numFmtId="0" fontId="15" fillId="0" borderId="24" xfId="0" applyFont="1" applyBorder="1"/>
    <xf numFmtId="0" fontId="15" fillId="0" borderId="25" xfId="0" applyFont="1" applyBorder="1"/>
    <xf numFmtId="0" fontId="15" fillId="0" borderId="26" xfId="0" applyFont="1" applyBorder="1" applyAlignment="1">
      <alignment horizontal="center" wrapText="1"/>
    </xf>
    <xf numFmtId="0" fontId="15" fillId="0" borderId="16" xfId="0" applyFont="1" applyBorder="1"/>
    <xf numFmtId="0" fontId="25" fillId="0" borderId="27" xfId="0" applyFont="1" applyBorder="1"/>
    <xf numFmtId="0" fontId="15" fillId="0" borderId="28" xfId="0" applyFont="1" applyBorder="1" applyAlignment="1">
      <alignment vertical="center"/>
    </xf>
    <xf numFmtId="0" fontId="28" fillId="0" borderId="29" xfId="0" applyFont="1" applyBorder="1" applyAlignment="1">
      <alignment vertical="center"/>
    </xf>
    <xf numFmtId="0" fontId="28" fillId="0" borderId="30" xfId="0" applyFont="1" applyBorder="1" applyAlignment="1">
      <alignment vertical="center"/>
    </xf>
    <xf numFmtId="49" fontId="28" fillId="0" borderId="31" xfId="0" applyNumberFormat="1" applyFont="1" applyBorder="1" applyAlignment="1">
      <alignment horizontal="center" vertical="center"/>
    </xf>
    <xf numFmtId="0" fontId="0" fillId="0" borderId="31" xfId="0" applyBorder="1"/>
    <xf numFmtId="0" fontId="29" fillId="8" borderId="32" xfId="0" applyFont="1" applyFill="1" applyBorder="1" applyAlignment="1">
      <alignment horizontal="center" vertical="center"/>
    </xf>
    <xf numFmtId="0" fontId="29" fillId="0" borderId="33" xfId="0" applyFont="1" applyBorder="1" applyAlignment="1">
      <alignment horizontal="center" vertical="center"/>
    </xf>
    <xf numFmtId="0" fontId="29" fillId="4" borderId="33" xfId="0" applyFont="1" applyFill="1" applyBorder="1" applyAlignment="1">
      <alignment vertical="center"/>
    </xf>
    <xf numFmtId="0" fontId="32" fillId="4" borderId="33" xfId="0" applyFont="1" applyFill="1" applyBorder="1" applyAlignment="1">
      <alignment horizontal="center" vertical="center" wrapText="1"/>
    </xf>
    <xf numFmtId="0" fontId="29" fillId="4" borderId="34" xfId="0" applyFont="1" applyFill="1" applyBorder="1" applyAlignment="1">
      <alignment horizontal="center" vertical="center"/>
    </xf>
    <xf numFmtId="0" fontId="30" fillId="0" borderId="35" xfId="0" applyFont="1" applyBorder="1" applyAlignment="1">
      <alignment horizontal="left" vertical="center" wrapText="1"/>
    </xf>
    <xf numFmtId="0" fontId="29" fillId="4" borderId="37" xfId="1" applyFont="1" applyFill="1" applyBorder="1" applyAlignment="1">
      <alignment horizontal="left" vertical="center" wrapText="1"/>
    </xf>
    <xf numFmtId="0" fontId="32" fillId="4" borderId="37" xfId="0" applyFont="1" applyFill="1" applyBorder="1" applyAlignment="1">
      <alignment horizontal="center" vertical="center" wrapText="1"/>
    </xf>
    <xf numFmtId="0" fontId="33" fillId="0" borderId="38" xfId="1" applyFont="1" applyBorder="1" applyAlignment="1">
      <alignment horizontal="left" vertical="center"/>
    </xf>
    <xf numFmtId="0" fontId="29" fillId="0" borderId="3" xfId="0" applyFont="1" applyBorder="1" applyAlignment="1">
      <alignment vertical="center" wrapText="1"/>
    </xf>
    <xf numFmtId="20" fontId="29" fillId="0" borderId="11" xfId="1" applyNumberFormat="1" applyFont="1" applyBorder="1" applyAlignment="1">
      <alignment horizontal="left" vertical="center" wrapText="1"/>
    </xf>
    <xf numFmtId="49" fontId="29" fillId="0" borderId="39" xfId="1" applyNumberFormat="1" applyFont="1" applyBorder="1" applyAlignment="1">
      <alignment horizontal="center" vertical="center" wrapText="1"/>
    </xf>
    <xf numFmtId="0" fontId="29" fillId="0" borderId="39" xfId="0" applyFont="1" applyBorder="1" applyAlignment="1">
      <alignment vertical="center"/>
    </xf>
    <xf numFmtId="0" fontId="0" fillId="4" borderId="39" xfId="0" applyFill="1" applyBorder="1"/>
    <xf numFmtId="0" fontId="29" fillId="4" borderId="32" xfId="1" applyFont="1" applyFill="1" applyBorder="1" applyAlignment="1">
      <alignment horizontal="center" vertical="center"/>
    </xf>
    <xf numFmtId="0" fontId="29" fillId="0" borderId="1" xfId="1" applyFont="1" applyBorder="1" applyAlignment="1">
      <alignment vertical="center" wrapText="1"/>
    </xf>
    <xf numFmtId="0" fontId="29" fillId="0" borderId="1" xfId="1" applyFont="1" applyBorder="1" applyAlignment="1">
      <alignment horizontal="left" vertical="center" wrapText="1"/>
    </xf>
    <xf numFmtId="0" fontId="29" fillId="0" borderId="4" xfId="0" applyFont="1" applyBorder="1" applyAlignment="1">
      <alignment horizontal="center" vertical="center"/>
    </xf>
    <xf numFmtId="0" fontId="29" fillId="4" borderId="33" xfId="0" applyFont="1" applyFill="1" applyBorder="1" applyAlignment="1">
      <alignment horizontal="center" vertical="center"/>
    </xf>
    <xf numFmtId="0" fontId="29" fillId="0" borderId="33" xfId="0" applyFont="1" applyBorder="1" applyAlignment="1">
      <alignment vertical="center"/>
    </xf>
    <xf numFmtId="0" fontId="32" fillId="4" borderId="33" xfId="0" applyFont="1" applyFill="1" applyBorder="1" applyAlignment="1">
      <alignment wrapText="1"/>
    </xf>
    <xf numFmtId="0" fontId="29" fillId="0" borderId="1" xfId="0" applyFont="1" applyBorder="1" applyAlignment="1">
      <alignment vertical="center" wrapText="1"/>
    </xf>
    <xf numFmtId="0" fontId="33" fillId="0" borderId="28" xfId="1" applyFont="1" applyBorder="1" applyAlignment="1">
      <alignment horizontal="left" vertical="center"/>
    </xf>
    <xf numFmtId="0" fontId="29" fillId="0" borderId="29" xfId="0" applyFont="1" applyBorder="1" applyAlignment="1">
      <alignment vertical="center" wrapText="1"/>
    </xf>
    <xf numFmtId="20" fontId="29" fillId="0" borderId="30" xfId="1" applyNumberFormat="1" applyFont="1" applyBorder="1" applyAlignment="1">
      <alignment horizontal="left" vertical="center" wrapText="1"/>
    </xf>
    <xf numFmtId="49" fontId="29" fillId="0" borderId="31" xfId="1" applyNumberFormat="1" applyFont="1" applyBorder="1" applyAlignment="1">
      <alignment horizontal="center" vertical="center" wrapText="1"/>
    </xf>
    <xf numFmtId="0" fontId="29" fillId="0" borderId="31" xfId="0" applyFont="1" applyBorder="1" applyAlignment="1">
      <alignment vertical="center"/>
    </xf>
    <xf numFmtId="0" fontId="0" fillId="4" borderId="31" xfId="0" applyFill="1" applyBorder="1"/>
    <xf numFmtId="0" fontId="29" fillId="0" borderId="1" xfId="0" applyFont="1" applyBorder="1" applyAlignment="1">
      <alignment horizontal="left" vertical="center" wrapText="1"/>
    </xf>
    <xf numFmtId="0" fontId="29" fillId="0" borderId="1" xfId="0" applyFont="1" applyBorder="1" applyAlignment="1">
      <alignment horizontal="center" vertical="center"/>
    </xf>
    <xf numFmtId="0" fontId="29" fillId="0" borderId="35" xfId="0" applyFont="1" applyBorder="1" applyAlignment="1">
      <alignment horizontal="left" vertical="center" wrapText="1"/>
    </xf>
    <xf numFmtId="0" fontId="29" fillId="0" borderId="35" xfId="1" applyFont="1" applyBorder="1" applyAlignment="1">
      <alignment horizontal="left" vertical="center" wrapText="1"/>
    </xf>
    <xf numFmtId="0" fontId="29" fillId="0" borderId="35" xfId="0" applyFont="1" applyBorder="1" applyAlignment="1">
      <alignment horizontal="center" vertical="center"/>
    </xf>
    <xf numFmtId="0" fontId="29" fillId="0" borderId="37" xfId="0" applyFont="1" applyBorder="1" applyAlignment="1">
      <alignment horizontal="center" vertical="center"/>
    </xf>
    <xf numFmtId="49" fontId="29" fillId="0" borderId="31" xfId="1" applyNumberFormat="1" applyFont="1" applyBorder="1" applyAlignment="1">
      <alignment horizontal="center" vertical="center"/>
    </xf>
    <xf numFmtId="0" fontId="24" fillId="4" borderId="31" xfId="0" applyFont="1" applyFill="1" applyBorder="1" applyAlignment="1">
      <alignment wrapText="1"/>
    </xf>
    <xf numFmtId="0" fontId="29" fillId="4" borderId="34" xfId="1" applyFont="1" applyFill="1" applyBorder="1" applyAlignment="1">
      <alignment horizontal="center" vertical="center"/>
    </xf>
    <xf numFmtId="0" fontId="29" fillId="0" borderId="36" xfId="1" applyFont="1" applyBorder="1" applyAlignment="1">
      <alignment horizontal="center" vertical="center" wrapText="1"/>
    </xf>
    <xf numFmtId="0" fontId="29" fillId="0" borderId="37" xfId="0" applyFont="1" applyBorder="1" applyAlignment="1">
      <alignment vertical="center"/>
    </xf>
    <xf numFmtId="0" fontId="32" fillId="4" borderId="37" xfId="0" applyFont="1" applyFill="1" applyBorder="1" applyAlignment="1">
      <alignment wrapText="1"/>
    </xf>
    <xf numFmtId="0" fontId="29" fillId="0" borderId="21" xfId="0" applyFont="1" applyBorder="1" applyAlignment="1">
      <alignment horizontal="left" vertical="center" wrapText="1"/>
    </xf>
    <xf numFmtId="0" fontId="29" fillId="0" borderId="21" xfId="1" applyFont="1" applyBorder="1" applyAlignment="1">
      <alignment horizontal="left" vertical="center" wrapText="1"/>
    </xf>
    <xf numFmtId="0" fontId="32" fillId="13" borderId="20" xfId="1" applyFont="1" applyFill="1" applyBorder="1" applyAlignment="1">
      <alignment horizontal="center" vertical="center" wrapText="1"/>
    </xf>
    <xf numFmtId="0" fontId="32" fillId="13" borderId="40" xfId="1" applyFont="1" applyFill="1" applyBorder="1" applyAlignment="1">
      <alignment horizontal="center" vertical="center" wrapText="1"/>
    </xf>
    <xf numFmtId="0" fontId="32" fillId="0" borderId="41" xfId="0" applyFont="1" applyBorder="1" applyAlignment="1">
      <alignment horizontal="center" vertical="center"/>
    </xf>
    <xf numFmtId="0" fontId="24" fillId="0" borderId="3" xfId="0" applyFont="1" applyBorder="1" applyAlignment="1">
      <alignment wrapText="1"/>
    </xf>
    <xf numFmtId="49" fontId="28" fillId="0" borderId="42" xfId="0" applyNumberFormat="1" applyFont="1" applyBorder="1" applyAlignment="1">
      <alignment horizontal="center" vertical="center"/>
    </xf>
    <xf numFmtId="0" fontId="29" fillId="4" borderId="32" xfId="0" applyFont="1" applyFill="1" applyBorder="1" applyAlignment="1">
      <alignment horizontal="center" vertical="center"/>
    </xf>
    <xf numFmtId="0" fontId="29" fillId="4" borderId="1" xfId="0" applyFont="1" applyFill="1" applyBorder="1" applyAlignment="1">
      <alignment vertical="center" wrapText="1"/>
    </xf>
    <xf numFmtId="0" fontId="29" fillId="4" borderId="1" xfId="0" applyFont="1" applyFill="1" applyBorder="1" applyAlignment="1">
      <alignment vertical="center"/>
    </xf>
    <xf numFmtId="0" fontId="29" fillId="4" borderId="4" xfId="0" applyFont="1" applyFill="1" applyBorder="1" applyAlignment="1">
      <alignment horizontal="center" vertical="center"/>
    </xf>
    <xf numFmtId="1" fontId="29" fillId="4" borderId="43" xfId="0" applyNumberFormat="1" applyFont="1" applyFill="1" applyBorder="1" applyAlignment="1">
      <alignment horizontal="center" vertical="center"/>
    </xf>
    <xf numFmtId="0" fontId="29" fillId="4" borderId="33" xfId="0" applyFont="1" applyFill="1" applyBorder="1" applyAlignment="1">
      <alignment horizontal="left" vertical="center"/>
    </xf>
    <xf numFmtId="0" fontId="29" fillId="0" borderId="32" xfId="0" applyFont="1" applyBorder="1" applyAlignment="1">
      <alignment horizontal="center" vertical="center"/>
    </xf>
    <xf numFmtId="0" fontId="29" fillId="0" borderId="1" xfId="0" applyFont="1" applyBorder="1" applyAlignment="1">
      <alignment vertical="center"/>
    </xf>
    <xf numFmtId="1" fontId="34" fillId="4" borderId="43" xfId="0" applyNumberFormat="1" applyFont="1" applyFill="1" applyBorder="1" applyAlignment="1">
      <alignment horizontal="center" vertical="center"/>
    </xf>
    <xf numFmtId="0" fontId="26" fillId="0" borderId="0" xfId="0" applyFont="1" applyAlignment="1">
      <alignment vertical="center"/>
    </xf>
    <xf numFmtId="0" fontId="0" fillId="0" borderId="0" xfId="0" applyAlignment="1">
      <alignment vertical="center"/>
    </xf>
    <xf numFmtId="0" fontId="29" fillId="14" borderId="12" xfId="0" applyFont="1" applyFill="1" applyBorder="1" applyAlignment="1">
      <alignment vertical="center" wrapText="1"/>
    </xf>
    <xf numFmtId="0" fontId="29" fillId="14" borderId="12" xfId="0" applyFont="1" applyFill="1" applyBorder="1" applyAlignment="1">
      <alignment vertical="center"/>
    </xf>
    <xf numFmtId="0" fontId="29" fillId="14" borderId="7" xfId="0" applyFont="1" applyFill="1" applyBorder="1" applyAlignment="1">
      <alignment horizontal="center" vertical="center"/>
    </xf>
    <xf numFmtId="2" fontId="29" fillId="14" borderId="44" xfId="0" applyNumberFormat="1" applyFont="1" applyFill="1" applyBorder="1" applyAlignment="1">
      <alignment horizontal="center" vertical="center"/>
    </xf>
    <xf numFmtId="0" fontId="29" fillId="14" borderId="37" xfId="0" applyFont="1" applyFill="1" applyBorder="1"/>
    <xf numFmtId="0" fontId="29" fillId="14" borderId="33" xfId="0" applyFont="1" applyFill="1" applyBorder="1" applyAlignment="1">
      <alignment vertical="center"/>
    </xf>
    <xf numFmtId="20" fontId="29" fillId="0" borderId="30" xfId="1" applyNumberFormat="1" applyFont="1" applyBorder="1" applyAlignment="1">
      <alignment horizontal="center" vertical="center" wrapText="1"/>
    </xf>
    <xf numFmtId="2" fontId="29" fillId="0" borderId="31" xfId="0" applyNumberFormat="1" applyFont="1" applyBorder="1" applyAlignment="1">
      <alignment horizontal="center" vertical="center" wrapText="1"/>
    </xf>
    <xf numFmtId="0" fontId="32" fillId="0" borderId="31" xfId="0" applyFont="1" applyBorder="1" applyAlignment="1">
      <alignment vertical="center"/>
    </xf>
    <xf numFmtId="0" fontId="35" fillId="0" borderId="31" xfId="0" applyFont="1" applyBorder="1" applyAlignment="1">
      <alignment wrapText="1"/>
    </xf>
    <xf numFmtId="49" fontId="0" fillId="0" borderId="0" xfId="0" applyNumberFormat="1"/>
    <xf numFmtId="0" fontId="29" fillId="0" borderId="34" xfId="1" applyFont="1" applyBorder="1" applyAlignment="1">
      <alignment horizontal="center" vertical="center"/>
    </xf>
    <xf numFmtId="0" fontId="29" fillId="0" borderId="35" xfId="1" applyFont="1" applyBorder="1" applyAlignment="1">
      <alignment vertical="center" wrapText="1"/>
    </xf>
    <xf numFmtId="0" fontId="29" fillId="0" borderId="35" xfId="0" applyFont="1" applyBorder="1" applyAlignment="1">
      <alignment vertical="center" wrapText="1"/>
    </xf>
    <xf numFmtId="0" fontId="29" fillId="4" borderId="36" xfId="0" applyFont="1" applyFill="1" applyBorder="1" applyAlignment="1">
      <alignment horizontal="center" vertical="center"/>
    </xf>
    <xf numFmtId="0" fontId="29" fillId="0" borderId="37" xfId="0" applyFont="1" applyBorder="1"/>
    <xf numFmtId="0" fontId="29" fillId="4" borderId="29" xfId="0" applyFont="1" applyFill="1" applyBorder="1" applyAlignment="1">
      <alignment vertical="center" wrapText="1"/>
    </xf>
    <xf numFmtId="2" fontId="29" fillId="0" borderId="31" xfId="0" applyNumberFormat="1" applyFont="1" applyBorder="1" applyAlignment="1">
      <alignment horizontal="center" vertical="center"/>
    </xf>
    <xf numFmtId="0" fontId="29" fillId="0" borderId="1" xfId="0" applyFont="1" applyBorder="1" applyAlignment="1">
      <alignment horizontal="left" vertical="center"/>
    </xf>
    <xf numFmtId="1" fontId="29" fillId="4" borderId="37" xfId="0" applyNumberFormat="1" applyFont="1" applyFill="1" applyBorder="1" applyAlignment="1">
      <alignment horizontal="center" vertical="center"/>
    </xf>
    <xf numFmtId="0" fontId="29" fillId="4" borderId="37" xfId="0" applyFont="1" applyFill="1" applyBorder="1" applyAlignment="1">
      <alignment vertical="center"/>
    </xf>
    <xf numFmtId="2" fontId="30" fillId="0" borderId="31" xfId="0" applyNumberFormat="1" applyFont="1" applyBorder="1" applyAlignment="1">
      <alignment horizontal="center" vertical="center"/>
    </xf>
    <xf numFmtId="49" fontId="29" fillId="0" borderId="33" xfId="1" applyNumberFormat="1" applyFont="1" applyBorder="1" applyAlignment="1">
      <alignment horizontal="left" vertical="center"/>
    </xf>
    <xf numFmtId="0" fontId="29" fillId="8" borderId="34" xfId="1" applyFont="1" applyFill="1" applyBorder="1" applyAlignment="1">
      <alignment horizontal="center" vertical="center"/>
    </xf>
    <xf numFmtId="49" fontId="29" fillId="4" borderId="37" xfId="1" applyNumberFormat="1" applyFont="1" applyFill="1" applyBorder="1" applyAlignment="1">
      <alignment horizontal="left" vertical="center"/>
    </xf>
    <xf numFmtId="0" fontId="31" fillId="0" borderId="20" xfId="0" applyFont="1" applyBorder="1" applyAlignment="1">
      <alignment horizontal="center" vertical="center"/>
    </xf>
    <xf numFmtId="0" fontId="32" fillId="15" borderId="20" xfId="1" applyFont="1" applyFill="1" applyBorder="1" applyAlignment="1">
      <alignment horizontal="center" vertical="center" wrapText="1"/>
    </xf>
    <xf numFmtId="1" fontId="32" fillId="13" borderId="40" xfId="1" applyNumberFormat="1" applyFont="1" applyFill="1" applyBorder="1" applyAlignment="1">
      <alignment horizontal="center" vertical="center" wrapText="1"/>
    </xf>
    <xf numFmtId="49" fontId="32" fillId="0" borderId="41" xfId="0" applyNumberFormat="1" applyFont="1" applyBorder="1" applyAlignment="1">
      <alignment horizontal="center" vertical="center"/>
    </xf>
    <xf numFmtId="0" fontId="24" fillId="0" borderId="45" xfId="0" applyFont="1" applyBorder="1" applyAlignment="1">
      <alignment wrapText="1"/>
    </xf>
    <xf numFmtId="0" fontId="0" fillId="0" borderId="20" xfId="0" applyBorder="1"/>
    <xf numFmtId="0" fontId="0" fillId="0" borderId="21" xfId="0" applyBorder="1"/>
    <xf numFmtId="0" fontId="0" fillId="0" borderId="21" xfId="0" applyBorder="1" applyAlignment="1">
      <alignment horizontal="center"/>
    </xf>
    <xf numFmtId="0" fontId="0" fillId="0" borderId="46" xfId="0" applyBorder="1"/>
    <xf numFmtId="0" fontId="0" fillId="0" borderId="16" xfId="0" applyBorder="1"/>
    <xf numFmtId="0" fontId="0" fillId="0" borderId="17" xfId="0" applyBorder="1"/>
    <xf numFmtId="0" fontId="0" fillId="0" borderId="17" xfId="0" applyBorder="1" applyAlignment="1">
      <alignment horizontal="center"/>
    </xf>
    <xf numFmtId="0" fontId="0" fillId="0" borderId="23" xfId="0" applyBorder="1"/>
    <xf numFmtId="0" fontId="0" fillId="0" borderId="14" xfId="0" applyBorder="1"/>
    <xf numFmtId="0" fontId="26" fillId="0" borderId="21" xfId="0" applyFont="1" applyBorder="1" applyAlignment="1">
      <alignment horizontal="center"/>
    </xf>
    <xf numFmtId="0" fontId="26" fillId="0" borderId="46" xfId="0" applyFont="1" applyBorder="1"/>
    <xf numFmtId="0" fontId="15" fillId="0" borderId="26" xfId="0" applyFont="1" applyBorder="1"/>
    <xf numFmtId="0" fontId="15" fillId="0" borderId="27" xfId="0" applyFont="1" applyBorder="1" applyAlignment="1">
      <alignment horizontal="center" wrapText="1"/>
    </xf>
    <xf numFmtId="0" fontId="15" fillId="0" borderId="17" xfId="0" applyFont="1" applyBorder="1"/>
    <xf numFmtId="0" fontId="36" fillId="0" borderId="31" xfId="0" applyFont="1" applyBorder="1" applyAlignment="1">
      <alignment horizontal="center" vertical="center" wrapText="1"/>
    </xf>
    <xf numFmtId="0" fontId="15" fillId="0" borderId="49" xfId="0" applyFont="1" applyBorder="1"/>
    <xf numFmtId="0" fontId="25" fillId="0" borderId="50" xfId="0" applyFont="1" applyBorder="1"/>
    <xf numFmtId="0" fontId="29" fillId="8" borderId="32" xfId="1" applyFont="1" applyFill="1" applyBorder="1" applyAlignment="1">
      <alignment horizontal="center" vertical="center"/>
    </xf>
    <xf numFmtId="0" fontId="29" fillId="4" borderId="1" xfId="1" applyFont="1" applyFill="1" applyBorder="1" applyAlignment="1">
      <alignment vertical="center" wrapText="1"/>
    </xf>
    <xf numFmtId="0" fontId="29" fillId="4" borderId="4" xfId="1" applyFont="1" applyFill="1" applyBorder="1" applyAlignment="1">
      <alignment vertical="center" wrapText="1"/>
    </xf>
    <xf numFmtId="0" fontId="29" fillId="4" borderId="33" xfId="1" applyFont="1" applyFill="1" applyBorder="1" applyAlignment="1">
      <alignment horizontal="center" vertical="center" wrapText="1"/>
    </xf>
    <xf numFmtId="0" fontId="29" fillId="4" borderId="10" xfId="1" applyFont="1" applyFill="1" applyBorder="1" applyAlignment="1">
      <alignment vertical="center" wrapText="1"/>
    </xf>
    <xf numFmtId="0" fontId="29" fillId="4" borderId="51" xfId="1" applyFont="1" applyFill="1" applyBorder="1" applyAlignment="1">
      <alignment vertical="center" wrapText="1"/>
    </xf>
    <xf numFmtId="0" fontId="30" fillId="8" borderId="34" xfId="1" applyFont="1" applyFill="1" applyBorder="1" applyAlignment="1">
      <alignment horizontal="center" vertical="center"/>
    </xf>
    <xf numFmtId="0" fontId="29" fillId="4" borderId="35" xfId="1" applyFont="1" applyFill="1" applyBorder="1" applyAlignment="1">
      <alignment vertical="center" wrapText="1"/>
    </xf>
    <xf numFmtId="0" fontId="29" fillId="4" borderId="35" xfId="1" applyFont="1" applyFill="1" applyBorder="1" applyAlignment="1">
      <alignment horizontal="left" vertical="center" wrapText="1"/>
    </xf>
    <xf numFmtId="0" fontId="29" fillId="4" borderId="36" xfId="0" applyFont="1" applyFill="1" applyBorder="1" applyAlignment="1">
      <alignment horizontal="left" vertical="center" wrapText="1"/>
    </xf>
    <xf numFmtId="0" fontId="29" fillId="4" borderId="53" xfId="0" applyFont="1" applyFill="1" applyBorder="1"/>
    <xf numFmtId="0" fontId="33" fillId="4" borderId="28" xfId="1" applyFont="1" applyFill="1" applyBorder="1" applyAlignment="1">
      <alignment horizontal="left" vertical="center"/>
    </xf>
    <xf numFmtId="20" fontId="29" fillId="4" borderId="30" xfId="1" applyNumberFormat="1" applyFont="1" applyFill="1" applyBorder="1" applyAlignment="1">
      <alignment horizontal="center" vertical="center" wrapText="1"/>
    </xf>
    <xf numFmtId="0" fontId="30" fillId="4" borderId="31" xfId="0" applyFont="1" applyFill="1" applyBorder="1" applyAlignment="1">
      <alignment horizontal="center" vertical="center" wrapText="1"/>
    </xf>
    <xf numFmtId="0" fontId="15" fillId="4" borderId="54" xfId="0" applyFont="1" applyFill="1" applyBorder="1"/>
    <xf numFmtId="0" fontId="34" fillId="4" borderId="31" xfId="0" applyFont="1" applyFill="1" applyBorder="1" applyAlignment="1">
      <alignment vertical="center"/>
    </xf>
    <xf numFmtId="0" fontId="30" fillId="4" borderId="32" xfId="1" applyFont="1" applyFill="1" applyBorder="1" applyAlignment="1">
      <alignment horizontal="center" vertical="center"/>
    </xf>
    <xf numFmtId="0" fontId="29" fillId="4" borderId="1" xfId="1" applyFont="1" applyFill="1" applyBorder="1" applyAlignment="1">
      <alignment horizontal="left" vertical="center" wrapText="1"/>
    </xf>
    <xf numFmtId="0" fontId="29" fillId="4" borderId="1" xfId="0" applyFont="1" applyFill="1" applyBorder="1" applyAlignment="1">
      <alignment horizontal="center" vertical="center" wrapText="1"/>
    </xf>
    <xf numFmtId="0" fontId="30" fillId="4" borderId="55" xfId="1" applyFont="1" applyFill="1" applyBorder="1" applyAlignment="1">
      <alignment horizontal="center" vertical="center"/>
    </xf>
    <xf numFmtId="0" fontId="29" fillId="4" borderId="12" xfId="1" applyFont="1" applyFill="1" applyBorder="1" applyAlignment="1">
      <alignment vertical="center" wrapText="1"/>
    </xf>
    <xf numFmtId="0" fontId="29" fillId="4" borderId="12" xfId="1" applyFont="1" applyFill="1" applyBorder="1" applyAlignment="1">
      <alignment horizontal="left" vertical="center" wrapText="1"/>
    </xf>
    <xf numFmtId="0" fontId="29" fillId="4" borderId="12" xfId="0" applyFont="1" applyFill="1" applyBorder="1" applyAlignment="1">
      <alignment horizontal="center" vertical="center"/>
    </xf>
    <xf numFmtId="0" fontId="34" fillId="4" borderId="56" xfId="0" applyFont="1" applyFill="1" applyBorder="1" applyAlignment="1">
      <alignment vertical="center"/>
    </xf>
    <xf numFmtId="0" fontId="30" fillId="4" borderId="34" xfId="1" applyFont="1" applyFill="1" applyBorder="1" applyAlignment="1">
      <alignment horizontal="center" vertical="center"/>
    </xf>
    <xf numFmtId="0" fontId="29" fillId="4" borderId="35" xfId="0" applyFont="1" applyFill="1" applyBorder="1" applyAlignment="1">
      <alignment vertical="center" wrapText="1"/>
    </xf>
    <xf numFmtId="0" fontId="29" fillId="4" borderId="35" xfId="0" applyFont="1" applyFill="1" applyBorder="1" applyAlignment="1">
      <alignment horizontal="center" vertical="center"/>
    </xf>
    <xf numFmtId="0" fontId="29" fillId="4" borderId="57" xfId="0" applyFont="1" applyFill="1" applyBorder="1" applyAlignment="1">
      <alignment vertical="center"/>
    </xf>
    <xf numFmtId="0" fontId="34" fillId="4" borderId="37" xfId="0" applyFont="1" applyFill="1" applyBorder="1" applyAlignment="1">
      <alignment vertical="center"/>
    </xf>
    <xf numFmtId="0" fontId="33" fillId="4" borderId="38" xfId="1" applyFont="1" applyFill="1" applyBorder="1" applyAlignment="1">
      <alignment horizontal="left" vertical="center"/>
    </xf>
    <xf numFmtId="0" fontId="29" fillId="0" borderId="3" xfId="1" applyFont="1" applyBorder="1" applyAlignment="1">
      <alignment vertical="center" wrapText="1"/>
    </xf>
    <xf numFmtId="0" fontId="29" fillId="4" borderId="3" xfId="0" applyFont="1" applyFill="1" applyBorder="1" applyAlignment="1">
      <alignment vertical="center" wrapText="1"/>
    </xf>
    <xf numFmtId="20" fontId="29" fillId="4" borderId="11" xfId="1" applyNumberFormat="1" applyFont="1" applyFill="1" applyBorder="1" applyAlignment="1">
      <alignment horizontal="center" vertical="center" wrapText="1"/>
    </xf>
    <xf numFmtId="0" fontId="30" fillId="4" borderId="39" xfId="0" applyFont="1" applyFill="1" applyBorder="1" applyAlignment="1">
      <alignment horizontal="center" vertical="center" wrapText="1"/>
    </xf>
    <xf numFmtId="0" fontId="15" fillId="4" borderId="58" xfId="0" applyFont="1" applyFill="1" applyBorder="1"/>
    <xf numFmtId="0" fontId="34" fillId="4" borderId="39" xfId="0" applyFont="1" applyFill="1" applyBorder="1" applyAlignment="1">
      <alignment vertical="center"/>
    </xf>
    <xf numFmtId="0" fontId="29" fillId="4" borderId="6" xfId="0" applyFont="1" applyFill="1" applyBorder="1" applyAlignment="1">
      <alignment vertical="center"/>
    </xf>
    <xf numFmtId="0" fontId="34" fillId="4" borderId="33" xfId="0" applyFont="1" applyFill="1" applyBorder="1" applyAlignment="1">
      <alignment vertical="center"/>
    </xf>
    <xf numFmtId="0" fontId="29" fillId="4" borderId="55" xfId="1" applyFont="1" applyFill="1" applyBorder="1" applyAlignment="1">
      <alignment horizontal="center" vertical="center"/>
    </xf>
    <xf numFmtId="0" fontId="29" fillId="0" borderId="12" xfId="0" applyFont="1" applyBorder="1" applyAlignment="1">
      <alignment horizontal="left" vertical="center" wrapText="1"/>
    </xf>
    <xf numFmtId="0" fontId="29" fillId="4" borderId="12" xfId="0" applyFont="1" applyFill="1" applyBorder="1" applyAlignment="1">
      <alignment vertical="center" wrapText="1"/>
    </xf>
    <xf numFmtId="0" fontId="29" fillId="4" borderId="12" xfId="0" applyFont="1" applyFill="1" applyBorder="1" applyAlignment="1">
      <alignment vertical="center"/>
    </xf>
    <xf numFmtId="0" fontId="29" fillId="4" borderId="59" xfId="0" applyFont="1" applyFill="1" applyBorder="1" applyAlignment="1">
      <alignment horizontal="center" vertical="center"/>
    </xf>
    <xf numFmtId="0" fontId="29" fillId="4" borderId="56" xfId="0" applyFont="1" applyFill="1" applyBorder="1" applyAlignment="1">
      <alignment horizontal="center" vertical="center" wrapText="1"/>
    </xf>
    <xf numFmtId="0" fontId="29" fillId="4" borderId="60" xfId="0" applyFont="1" applyFill="1" applyBorder="1" applyAlignment="1">
      <alignment vertical="center"/>
    </xf>
    <xf numFmtId="20" fontId="29" fillId="0" borderId="29" xfId="1" applyNumberFormat="1" applyFont="1" applyBorder="1" applyAlignment="1">
      <alignment horizontal="center" vertical="center" wrapText="1"/>
    </xf>
    <xf numFmtId="0" fontId="30" fillId="0" borderId="29" xfId="0" applyFont="1" applyBorder="1" applyAlignment="1">
      <alignment horizontal="center" vertical="center" wrapText="1"/>
    </xf>
    <xf numFmtId="0" fontId="15" fillId="0" borderId="29" xfId="0" applyFont="1" applyBorder="1"/>
    <xf numFmtId="0" fontId="34" fillId="0" borderId="50" xfId="0" applyFont="1" applyBorder="1" applyAlignment="1">
      <alignment vertical="center"/>
    </xf>
    <xf numFmtId="0" fontId="29" fillId="4" borderId="35" xfId="0" applyFont="1" applyFill="1" applyBorder="1" applyAlignment="1">
      <alignment horizontal="left" vertical="center" wrapText="1"/>
    </xf>
    <xf numFmtId="0" fontId="29" fillId="4" borderId="35" xfId="1" applyFont="1" applyFill="1" applyBorder="1" applyAlignment="1">
      <alignment horizontal="center" vertical="center" wrapText="1"/>
    </xf>
    <xf numFmtId="0" fontId="29" fillId="4" borderId="35" xfId="0" applyFont="1" applyFill="1" applyBorder="1" applyAlignment="1">
      <alignment vertical="center"/>
    </xf>
    <xf numFmtId="0" fontId="29" fillId="4" borderId="53" xfId="0" applyFont="1" applyFill="1" applyBorder="1" applyAlignment="1">
      <alignment vertical="center"/>
    </xf>
    <xf numFmtId="0" fontId="15" fillId="0" borderId="47" xfId="0" applyFont="1" applyBorder="1"/>
    <xf numFmtId="0" fontId="15" fillId="0" borderId="48" xfId="0" applyFont="1" applyBorder="1"/>
    <xf numFmtId="0" fontId="15" fillId="0" borderId="18" xfId="0" applyFont="1" applyBorder="1" applyAlignment="1">
      <alignment horizontal="center" wrapText="1"/>
    </xf>
    <xf numFmtId="0" fontId="15" fillId="0" borderId="13" xfId="0" applyFont="1" applyBorder="1"/>
    <xf numFmtId="0" fontId="15" fillId="0" borderId="30" xfId="0" applyFont="1" applyBorder="1"/>
    <xf numFmtId="0" fontId="29" fillId="4" borderId="33" xfId="0" applyFont="1" applyFill="1" applyBorder="1"/>
    <xf numFmtId="0" fontId="29" fillId="4" borderId="43" xfId="0" applyFont="1" applyFill="1" applyBorder="1" applyAlignment="1">
      <alignment horizontal="center" vertical="center"/>
    </xf>
    <xf numFmtId="0" fontId="29" fillId="4" borderId="61" xfId="0" applyFont="1" applyFill="1" applyBorder="1" applyAlignment="1">
      <alignment horizontal="center" vertical="center"/>
    </xf>
    <xf numFmtId="0" fontId="29" fillId="4" borderId="37" xfId="0" applyFont="1" applyFill="1" applyBorder="1" applyAlignment="1">
      <alignment horizontal="left" vertical="center"/>
    </xf>
    <xf numFmtId="20" fontId="29" fillId="0" borderId="11" xfId="1" applyNumberFormat="1" applyFont="1" applyBorder="1" applyAlignment="1">
      <alignment horizontal="center" vertical="center" wrapText="1"/>
    </xf>
    <xf numFmtId="49" fontId="29" fillId="0" borderId="62" xfId="1" applyNumberFormat="1" applyFont="1" applyBorder="1" applyAlignment="1">
      <alignment horizontal="center" vertical="center" wrapText="1"/>
    </xf>
    <xf numFmtId="0" fontId="35" fillId="0" borderId="39" xfId="0" applyFont="1" applyBorder="1" applyAlignment="1">
      <alignment wrapText="1"/>
    </xf>
    <xf numFmtId="0" fontId="0" fillId="4" borderId="33" xfId="0" applyFill="1" applyBorder="1"/>
    <xf numFmtId="0" fontId="0" fillId="4" borderId="37" xfId="0" applyFill="1" applyBorder="1"/>
    <xf numFmtId="0" fontId="29" fillId="0" borderId="29" xfId="1" applyFont="1" applyBorder="1" applyAlignment="1">
      <alignment vertical="center" wrapText="1"/>
    </xf>
    <xf numFmtId="49" fontId="29" fillId="0" borderId="42" xfId="1" applyNumberFormat="1" applyFont="1" applyBorder="1" applyAlignment="1">
      <alignment horizontal="center" vertical="center" wrapText="1"/>
    </xf>
    <xf numFmtId="20" fontId="29" fillId="0" borderId="31" xfId="1" applyNumberFormat="1" applyFont="1" applyBorder="1" applyAlignment="1">
      <alignment horizontal="left" vertical="center" wrapText="1"/>
    </xf>
    <xf numFmtId="0" fontId="31" fillId="4" borderId="55" xfId="0" applyFont="1" applyFill="1" applyBorder="1" applyAlignment="1">
      <alignment horizontal="center" vertical="center"/>
    </xf>
    <xf numFmtId="0" fontId="29" fillId="0" borderId="2" xfId="1" applyFont="1" applyBorder="1" applyAlignment="1">
      <alignment vertical="center" wrapText="1"/>
    </xf>
    <xf numFmtId="0" fontId="29" fillId="0" borderId="2" xfId="0" applyFont="1" applyBorder="1" applyAlignment="1">
      <alignment vertical="center" wrapText="1"/>
    </xf>
    <xf numFmtId="20" fontId="29" fillId="0" borderId="2" xfId="1" applyNumberFormat="1" applyFont="1" applyBorder="1" applyAlignment="1">
      <alignment horizontal="center" vertical="center" wrapText="1"/>
    </xf>
    <xf numFmtId="0" fontId="29" fillId="0" borderId="56" xfId="0" applyFont="1" applyBorder="1" applyAlignment="1">
      <alignment vertical="center"/>
    </xf>
    <xf numFmtId="0" fontId="31" fillId="0" borderId="42" xfId="0" applyFont="1" applyBorder="1" applyAlignment="1">
      <alignment horizontal="center" vertical="center"/>
    </xf>
    <xf numFmtId="0" fontId="24" fillId="0" borderId="31" xfId="0" applyFont="1" applyBorder="1" applyAlignment="1">
      <alignment wrapText="1"/>
    </xf>
    <xf numFmtId="0" fontId="29" fillId="4" borderId="1" xfId="0" applyFont="1" applyFill="1" applyBorder="1" applyAlignment="1">
      <alignment wrapText="1"/>
    </xf>
    <xf numFmtId="49" fontId="29" fillId="4" borderId="43" xfId="1" applyNumberFormat="1" applyFont="1" applyFill="1" applyBorder="1" applyAlignment="1">
      <alignment horizontal="center" vertical="center" wrapText="1"/>
    </xf>
    <xf numFmtId="49" fontId="29" fillId="4" borderId="33" xfId="1" applyNumberFormat="1" applyFont="1" applyFill="1" applyBorder="1" applyAlignment="1">
      <alignment horizontal="left" vertical="center"/>
    </xf>
    <xf numFmtId="0" fontId="29" fillId="4" borderId="61" xfId="0" applyFont="1" applyFill="1" applyBorder="1" applyAlignment="1">
      <alignment horizontal="center" vertical="center" wrapText="1"/>
    </xf>
    <xf numFmtId="0" fontId="24" fillId="4" borderId="37" xfId="0" applyFont="1" applyFill="1" applyBorder="1" applyAlignment="1">
      <alignment wrapText="1"/>
    </xf>
    <xf numFmtId="49" fontId="32" fillId="15" borderId="40" xfId="1" applyNumberFormat="1" applyFont="1" applyFill="1" applyBorder="1" applyAlignment="1">
      <alignment horizontal="center" vertical="center" wrapText="1"/>
    </xf>
    <xf numFmtId="0" fontId="30" fillId="0" borderId="63" xfId="1" applyFont="1" applyBorder="1" applyAlignment="1">
      <alignment horizontal="center" vertical="center"/>
    </xf>
    <xf numFmtId="0" fontId="29" fillId="0" borderId="0" xfId="0" applyFont="1" applyAlignment="1">
      <alignment horizontal="left" vertical="center" wrapText="1"/>
    </xf>
    <xf numFmtId="0" fontId="29" fillId="0" borderId="0" xfId="1" applyFont="1" applyAlignment="1">
      <alignment horizontal="left" vertical="center" wrapText="1"/>
    </xf>
    <xf numFmtId="0" fontId="29" fillId="0" borderId="0" xfId="1" applyFont="1" applyAlignment="1">
      <alignment horizontal="center" vertical="center" wrapText="1"/>
    </xf>
    <xf numFmtId="0" fontId="29" fillId="0" borderId="0" xfId="0" applyFont="1" applyAlignment="1">
      <alignment vertical="center"/>
    </xf>
    <xf numFmtId="0" fontId="32" fillId="0" borderId="22" xfId="0" applyFont="1" applyBorder="1" applyAlignment="1">
      <alignment wrapText="1"/>
    </xf>
    <xf numFmtId="0" fontId="26" fillId="0" borderId="15" xfId="0" applyFont="1" applyBorder="1"/>
    <xf numFmtId="0" fontId="37" fillId="0" borderId="0" xfId="0" applyFont="1" applyAlignment="1">
      <alignment horizontal="center" vertical="center"/>
    </xf>
    <xf numFmtId="0" fontId="7" fillId="0" borderId="63" xfId="0" applyFont="1" applyBorder="1"/>
    <xf numFmtId="0" fontId="24" fillId="0" borderId="22" xfId="0" applyFont="1" applyBorder="1"/>
    <xf numFmtId="0" fontId="0" fillId="0" borderId="54" xfId="0" applyBorder="1"/>
    <xf numFmtId="0" fontId="29" fillId="0" borderId="1" xfId="0" applyFont="1" applyBorder="1" applyAlignment="1">
      <alignment horizontal="center" vertical="center" wrapText="1"/>
    </xf>
    <xf numFmtId="0" fontId="29" fillId="4" borderId="1" xfId="0" applyFont="1" applyFill="1" applyBorder="1" applyAlignment="1">
      <alignment horizontal="center" vertical="center"/>
    </xf>
    <xf numFmtId="0" fontId="29" fillId="4" borderId="6" xfId="0" applyFont="1" applyFill="1" applyBorder="1" applyAlignment="1">
      <alignment vertical="center" wrapText="1"/>
    </xf>
    <xf numFmtId="0" fontId="29" fillId="4" borderId="37" xfId="0" applyFont="1" applyFill="1" applyBorder="1" applyAlignment="1">
      <alignment horizontal="center" vertical="center"/>
    </xf>
    <xf numFmtId="0" fontId="29" fillId="4" borderId="46" xfId="0" applyFont="1" applyFill="1" applyBorder="1" applyAlignment="1">
      <alignment horizontal="left" vertical="center"/>
    </xf>
    <xf numFmtId="0" fontId="29" fillId="0" borderId="29" xfId="0" applyFont="1" applyBorder="1" applyAlignment="1">
      <alignment horizontal="left" vertical="center" wrapText="1"/>
    </xf>
    <xf numFmtId="0" fontId="29" fillId="0" borderId="31" xfId="0" applyFont="1" applyBorder="1"/>
    <xf numFmtId="0" fontId="29" fillId="4" borderId="4" xfId="0" applyFont="1" applyFill="1" applyBorder="1" applyAlignment="1">
      <alignment horizontal="left" vertical="center"/>
    </xf>
    <xf numFmtId="0" fontId="29" fillId="4" borderId="36" xfId="0" applyFont="1" applyFill="1" applyBorder="1" applyAlignment="1">
      <alignment horizontal="left" vertical="center"/>
    </xf>
    <xf numFmtId="20" fontId="29" fillId="4" borderId="37" xfId="1" applyNumberFormat="1" applyFont="1" applyFill="1" applyBorder="1" applyAlignment="1">
      <alignment horizontal="left" vertical="center" wrapText="1"/>
    </xf>
    <xf numFmtId="0" fontId="29" fillId="4" borderId="37" xfId="0" applyFont="1" applyFill="1" applyBorder="1"/>
    <xf numFmtId="0" fontId="29" fillId="0" borderId="36" xfId="0" applyFont="1" applyBorder="1" applyAlignment="1">
      <alignment horizontal="left" vertical="center"/>
    </xf>
    <xf numFmtId="49" fontId="29" fillId="0" borderId="37" xfId="0" applyNumberFormat="1" applyFont="1" applyBorder="1" applyAlignment="1">
      <alignment horizontal="center" vertical="center"/>
    </xf>
    <xf numFmtId="0" fontId="32" fillId="0" borderId="37" xfId="0" applyFont="1" applyBorder="1" applyAlignment="1">
      <alignment vertical="center"/>
    </xf>
    <xf numFmtId="0" fontId="32" fillId="0" borderId="37" xfId="0" applyFont="1" applyBorder="1" applyAlignment="1">
      <alignment wrapText="1"/>
    </xf>
    <xf numFmtId="0" fontId="33" fillId="4" borderId="42" xfId="1" applyFont="1" applyFill="1" applyBorder="1" applyAlignment="1">
      <alignment horizontal="left" vertical="center"/>
    </xf>
    <xf numFmtId="0" fontId="29" fillId="0" borderId="28" xfId="0" applyFont="1" applyBorder="1" applyAlignment="1">
      <alignment vertical="center" wrapText="1"/>
    </xf>
    <xf numFmtId="0" fontId="29" fillId="0" borderId="30" xfId="0" applyFont="1" applyBorder="1" applyAlignment="1">
      <alignment horizontal="left" vertical="center"/>
    </xf>
    <xf numFmtId="49" fontId="29" fillId="0" borderId="31" xfId="0" applyNumberFormat="1" applyFont="1" applyBorder="1" applyAlignment="1">
      <alignment horizontal="center" vertical="center"/>
    </xf>
    <xf numFmtId="0" fontId="32" fillId="0" borderId="31" xfId="0" applyFont="1" applyBorder="1" applyAlignment="1">
      <alignment wrapText="1"/>
    </xf>
    <xf numFmtId="0" fontId="29" fillId="0" borderId="64" xfId="0" applyFont="1" applyBorder="1" applyAlignment="1">
      <alignment horizontal="left" vertical="center" wrapText="1"/>
    </xf>
    <xf numFmtId="0" fontId="29" fillId="0" borderId="64" xfId="1" applyFont="1" applyBorder="1" applyAlignment="1">
      <alignment horizontal="left" vertical="center" wrapText="1"/>
    </xf>
    <xf numFmtId="0" fontId="29" fillId="4" borderId="45" xfId="1" applyFont="1" applyFill="1" applyBorder="1" applyAlignment="1">
      <alignment horizontal="center" vertical="center" wrapText="1"/>
    </xf>
    <xf numFmtId="0" fontId="29" fillId="4" borderId="37" xfId="0" applyFont="1" applyFill="1" applyBorder="1" applyAlignment="1">
      <alignment wrapText="1"/>
    </xf>
    <xf numFmtId="0" fontId="15" fillId="0" borderId="29" xfId="0" applyFont="1" applyBorder="1" applyAlignment="1">
      <alignment vertical="center"/>
    </xf>
    <xf numFmtId="0" fontId="15" fillId="0" borderId="30" xfId="0" applyFont="1" applyBorder="1" applyAlignment="1">
      <alignment vertical="center"/>
    </xf>
    <xf numFmtId="49" fontId="15" fillId="0" borderId="31" xfId="0" applyNumberFormat="1" applyFont="1" applyBorder="1" applyAlignment="1">
      <alignment horizontal="center" vertical="center"/>
    </xf>
    <xf numFmtId="0" fontId="29" fillId="4" borderId="4" xfId="0" applyFont="1" applyFill="1" applyBorder="1" applyAlignment="1">
      <alignment vertical="center"/>
    </xf>
    <xf numFmtId="1" fontId="29" fillId="4" borderId="33" xfId="0" applyNumberFormat="1" applyFont="1" applyFill="1" applyBorder="1" applyAlignment="1">
      <alignment horizontal="center" vertical="center"/>
    </xf>
    <xf numFmtId="0" fontId="29" fillId="4" borderId="10" xfId="0" applyFont="1" applyFill="1" applyBorder="1" applyAlignment="1">
      <alignment vertical="center"/>
    </xf>
    <xf numFmtId="0" fontId="29" fillId="0" borderId="51" xfId="0" applyFont="1" applyBorder="1" applyAlignment="1">
      <alignment vertical="center"/>
    </xf>
    <xf numFmtId="0" fontId="29" fillId="4" borderId="36" xfId="0" applyFont="1" applyFill="1" applyBorder="1" applyAlignment="1">
      <alignment vertical="center"/>
    </xf>
    <xf numFmtId="0" fontId="29" fillId="4" borderId="52" xfId="0" applyFont="1" applyFill="1" applyBorder="1" applyAlignment="1">
      <alignment vertical="center"/>
    </xf>
    <xf numFmtId="0" fontId="0" fillId="0" borderId="53" xfId="0" applyBorder="1"/>
    <xf numFmtId="0" fontId="38" fillId="0" borderId="3" xfId="0" applyFont="1" applyBorder="1" applyAlignment="1">
      <alignment vertical="center" wrapText="1"/>
    </xf>
    <xf numFmtId="20" fontId="38" fillId="0" borderId="11" xfId="1" applyNumberFormat="1" applyFont="1" applyBorder="1" applyAlignment="1">
      <alignment vertical="center" wrapText="1"/>
    </xf>
    <xf numFmtId="2" fontId="38" fillId="0" borderId="39" xfId="1" applyNumberFormat="1" applyFont="1" applyBorder="1" applyAlignment="1">
      <alignment horizontal="center" vertical="center" wrapText="1"/>
    </xf>
    <xf numFmtId="0" fontId="29" fillId="0" borderId="39" xfId="0" applyFont="1" applyBorder="1"/>
    <xf numFmtId="0" fontId="0" fillId="0" borderId="39" xfId="0" applyBorder="1"/>
    <xf numFmtId="0" fontId="29" fillId="0" borderId="65" xfId="1" applyFont="1" applyBorder="1" applyAlignment="1">
      <alignment horizontal="center" vertical="center"/>
    </xf>
    <xf numFmtId="1" fontId="29" fillId="0" borderId="66" xfId="1" applyNumberFormat="1" applyFont="1" applyBorder="1" applyAlignment="1">
      <alignment horizontal="center" vertical="center" wrapText="1"/>
    </xf>
    <xf numFmtId="0" fontId="29" fillId="0" borderId="66" xfId="0" applyFont="1" applyBorder="1"/>
    <xf numFmtId="0" fontId="30" fillId="0" borderId="39" xfId="0" applyFont="1" applyBorder="1"/>
    <xf numFmtId="2" fontId="29" fillId="0" borderId="31" xfId="1" applyNumberFormat="1" applyFont="1" applyBorder="1" applyAlignment="1">
      <alignment horizontal="center" vertical="center" wrapText="1"/>
    </xf>
    <xf numFmtId="0" fontId="30" fillId="0" borderId="34" xfId="1" applyFont="1" applyBorder="1" applyAlignment="1">
      <alignment horizontal="center" vertical="center"/>
    </xf>
    <xf numFmtId="0" fontId="29" fillId="0" borderId="36" xfId="0" applyFont="1" applyBorder="1" applyAlignment="1">
      <alignment horizontal="center" vertical="center"/>
    </xf>
    <xf numFmtId="2" fontId="29" fillId="0" borderId="37" xfId="0" applyNumberFormat="1" applyFont="1" applyBorder="1" applyAlignment="1">
      <alignment horizontal="center" vertical="center"/>
    </xf>
    <xf numFmtId="0" fontId="24" fillId="0" borderId="37" xfId="0" applyFont="1" applyBorder="1" applyAlignment="1">
      <alignment wrapText="1"/>
    </xf>
    <xf numFmtId="0" fontId="29" fillId="0" borderId="30" xfId="0" applyFont="1" applyBorder="1" applyAlignment="1">
      <alignment horizontal="center" vertical="center"/>
    </xf>
    <xf numFmtId="0" fontId="29" fillId="0" borderId="36" xfId="1" applyFont="1" applyBorder="1" applyAlignment="1">
      <alignment vertical="center" wrapText="1"/>
    </xf>
    <xf numFmtId="1" fontId="29" fillId="0" borderId="37" xfId="1" applyNumberFormat="1" applyFont="1" applyBorder="1" applyAlignment="1">
      <alignment horizontal="center" vertical="center" wrapText="1"/>
    </xf>
    <xf numFmtId="1" fontId="32" fillId="15" borderId="40" xfId="1" applyNumberFormat="1" applyFont="1" applyFill="1" applyBorder="1" applyAlignment="1">
      <alignment horizontal="center" vertical="center" wrapText="1"/>
    </xf>
    <xf numFmtId="0" fontId="39" fillId="0" borderId="35" xfId="0" applyFont="1" applyBorder="1" applyAlignment="1">
      <alignment vertical="center" wrapText="1"/>
    </xf>
    <xf numFmtId="1" fontId="39" fillId="4" borderId="37" xfId="0" applyNumberFormat="1" applyFont="1" applyFill="1" applyBorder="1" applyAlignment="1">
      <alignment horizontal="center" vertical="center"/>
    </xf>
    <xf numFmtId="0" fontId="39" fillId="4" borderId="37" xfId="0" applyFont="1" applyFill="1" applyBorder="1" applyAlignment="1">
      <alignment vertical="center"/>
    </xf>
    <xf numFmtId="0" fontId="39" fillId="4" borderId="35" xfId="1" applyFont="1" applyFill="1" applyBorder="1" applyAlignment="1">
      <alignment vertical="center" wrapText="1"/>
    </xf>
    <xf numFmtId="0" fontId="39" fillId="4" borderId="35" xfId="0" applyFont="1" applyFill="1" applyBorder="1" applyAlignment="1">
      <alignment vertical="center" wrapText="1"/>
    </xf>
    <xf numFmtId="0" fontId="39" fillId="4" borderId="61" xfId="0" applyFont="1" applyFill="1" applyBorder="1" applyAlignment="1">
      <alignment horizontal="center" vertical="center"/>
    </xf>
    <xf numFmtId="0" fontId="39" fillId="4" borderId="36" xfId="0" applyFont="1" applyFill="1" applyBorder="1" applyAlignment="1">
      <alignment horizontal="center" vertical="center"/>
    </xf>
    <xf numFmtId="20" fontId="39" fillId="4" borderId="37" xfId="1" applyNumberFormat="1" applyFont="1" applyFill="1" applyBorder="1" applyAlignment="1">
      <alignment horizontal="left" vertical="center" wrapText="1"/>
    </xf>
    <xf numFmtId="0" fontId="39" fillId="0" borderId="35" xfId="0" applyFont="1" applyBorder="1" applyAlignment="1">
      <alignment horizontal="left" vertical="center"/>
    </xf>
    <xf numFmtId="0" fontId="29" fillId="0" borderId="35" xfId="0" applyFont="1" applyBorder="1" applyAlignment="1">
      <alignment vertical="center"/>
    </xf>
    <xf numFmtId="0" fontId="29" fillId="0" borderId="37" xfId="0" applyFont="1" applyBorder="1" applyAlignment="1">
      <alignment horizontal="center" vertical="center" wrapText="1"/>
    </xf>
    <xf numFmtId="0" fontId="34" fillId="4" borderId="33" xfId="0" applyFont="1" applyFill="1" applyBorder="1" applyAlignment="1">
      <alignment wrapText="1"/>
    </xf>
    <xf numFmtId="0" fontId="29" fillId="4" borderId="37" xfId="0" applyFont="1" applyFill="1" applyBorder="1" applyAlignment="1">
      <alignment horizontal="center" vertical="center" wrapText="1"/>
    </xf>
    <xf numFmtId="0" fontId="29" fillId="4" borderId="52" xfId="0" applyFont="1" applyFill="1" applyBorder="1"/>
    <xf numFmtId="0" fontId="29" fillId="4" borderId="33" xfId="0" applyFont="1" applyFill="1" applyBorder="1" applyAlignment="1">
      <alignment horizontal="center" vertical="center" wrapText="1"/>
    </xf>
    <xf numFmtId="0" fontId="29" fillId="4" borderId="35" xfId="0" applyFont="1" applyFill="1" applyBorder="1" applyAlignment="1">
      <alignment horizontal="center" vertical="center" wrapText="1"/>
    </xf>
    <xf numFmtId="0" fontId="29" fillId="0" borderId="44" xfId="0" applyFont="1" applyBorder="1" applyAlignment="1">
      <alignment horizontal="center" vertical="center"/>
    </xf>
    <xf numFmtId="0" fontId="29" fillId="4" borderId="1" xfId="0" applyFont="1" applyFill="1" applyBorder="1" applyAlignment="1">
      <alignment horizontal="left" vertical="center" wrapText="1"/>
    </xf>
    <xf numFmtId="1" fontId="29" fillId="0" borderId="33" xfId="1" applyNumberFormat="1" applyFont="1" applyBorder="1" applyAlignment="1">
      <alignment horizontal="center" vertical="center" wrapText="1"/>
    </xf>
    <xf numFmtId="1" fontId="29" fillId="4" borderId="37" xfId="1" applyNumberFormat="1" applyFont="1" applyFill="1" applyBorder="1" applyAlignment="1">
      <alignment horizontal="center" vertical="center" wrapText="1"/>
    </xf>
    <xf numFmtId="0" fontId="32" fillId="4" borderId="37" xfId="0" applyFont="1" applyFill="1" applyBorder="1" applyAlignment="1">
      <alignment horizontal="center" vertical="center"/>
    </xf>
    <xf numFmtId="1" fontId="32" fillId="4" borderId="37" xfId="0" applyNumberFormat="1" applyFont="1" applyFill="1" applyBorder="1" applyAlignment="1">
      <alignment horizontal="center" vertical="center"/>
    </xf>
    <xf numFmtId="0" fontId="32" fillId="4" borderId="43" xfId="0" applyFont="1" applyFill="1" applyBorder="1" applyAlignment="1">
      <alignment horizontal="center" vertical="center"/>
    </xf>
    <xf numFmtId="0" fontId="32" fillId="4" borderId="56" xfId="0" applyFont="1" applyFill="1" applyBorder="1" applyAlignment="1">
      <alignment horizontal="center" vertical="center" wrapText="1"/>
    </xf>
    <xf numFmtId="0" fontId="16" fillId="11" borderId="1" xfId="0" applyFont="1" applyFill="1" applyBorder="1" applyAlignment="1">
      <alignment horizontal="left"/>
    </xf>
    <xf numFmtId="0" fontId="2" fillId="6" borderId="1" xfId="0" applyFont="1" applyFill="1" applyBorder="1" applyAlignment="1">
      <alignment horizontal="left"/>
    </xf>
    <xf numFmtId="0" fontId="7" fillId="4" borderId="4" xfId="0" applyFont="1" applyFill="1" applyBorder="1" applyAlignment="1">
      <alignment horizontal="left" vertical="center"/>
    </xf>
    <xf numFmtId="0" fontId="7" fillId="4" borderId="5" xfId="0" applyFont="1" applyFill="1" applyBorder="1" applyAlignment="1">
      <alignment horizontal="left" vertical="center"/>
    </xf>
    <xf numFmtId="0" fontId="7" fillId="4" borderId="10" xfId="0" applyFont="1" applyFill="1" applyBorder="1" applyAlignment="1">
      <alignment horizontal="left" vertical="center"/>
    </xf>
    <xf numFmtId="0" fontId="4" fillId="4" borderId="1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4" borderId="3" xfId="0" applyFont="1" applyFill="1" applyBorder="1" applyAlignment="1">
      <alignment horizontal="left" vertical="center" wrapText="1"/>
    </xf>
    <xf numFmtId="0" fontId="2" fillId="12" borderId="4" xfId="0" applyFont="1" applyFill="1" applyBorder="1" applyAlignment="1">
      <alignment horizontal="left" vertical="center"/>
    </xf>
    <xf numFmtId="0" fontId="2" fillId="12" borderId="5" xfId="0" applyFont="1" applyFill="1" applyBorder="1" applyAlignment="1">
      <alignment horizontal="left" vertical="center"/>
    </xf>
    <xf numFmtId="0" fontId="2" fillId="12" borderId="10" xfId="0" applyFont="1" applyFill="1" applyBorder="1" applyAlignment="1">
      <alignment horizontal="left" vertical="center"/>
    </xf>
    <xf numFmtId="0" fontId="7" fillId="4" borderId="1" xfId="0" applyFont="1" applyFill="1" applyBorder="1" applyAlignment="1">
      <alignment horizontal="left"/>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2" fillId="2" borderId="10" xfId="0" applyFont="1" applyFill="1" applyBorder="1" applyAlignment="1">
      <alignment horizontal="left" vertical="center"/>
    </xf>
    <xf numFmtId="0" fontId="2" fillId="10" borderId="7" xfId="0" applyFont="1" applyFill="1" applyBorder="1" applyAlignment="1">
      <alignment horizontal="left" vertical="center"/>
    </xf>
    <xf numFmtId="0" fontId="2" fillId="10" borderId="8" xfId="0" applyFont="1" applyFill="1" applyBorder="1" applyAlignment="1">
      <alignment horizontal="left" vertical="center"/>
    </xf>
    <xf numFmtId="0" fontId="2" fillId="10" borderId="9" xfId="0" applyFont="1" applyFill="1" applyBorder="1" applyAlignment="1">
      <alignment horizontal="left" vertical="center"/>
    </xf>
    <xf numFmtId="0" fontId="27" fillId="0" borderId="13" xfId="0" applyFont="1" applyBorder="1" applyAlignment="1">
      <alignment horizontal="center"/>
    </xf>
    <xf numFmtId="0" fontId="27" fillId="0" borderId="14" xfId="0" applyFont="1" applyBorder="1" applyAlignment="1">
      <alignment horizontal="center"/>
    </xf>
    <xf numFmtId="0" fontId="27" fillId="0" borderId="23" xfId="0" applyFont="1" applyBorder="1" applyAlignment="1">
      <alignment horizontal="center"/>
    </xf>
    <xf numFmtId="0" fontId="22" fillId="9" borderId="13" xfId="0" applyFont="1" applyFill="1" applyBorder="1" applyAlignment="1">
      <alignment horizontal="left" vertical="center"/>
    </xf>
    <xf numFmtId="0" fontId="22" fillId="9" borderId="14" xfId="0" applyFont="1" applyFill="1" applyBorder="1" applyAlignment="1">
      <alignment horizontal="left" vertical="center"/>
    </xf>
    <xf numFmtId="0" fontId="22" fillId="9" borderId="15" xfId="0" applyFont="1" applyFill="1" applyBorder="1" applyAlignment="1">
      <alignment horizontal="left" vertical="center"/>
    </xf>
    <xf numFmtId="0" fontId="24" fillId="4" borderId="18"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 fillId="0" borderId="13" xfId="0" applyFont="1" applyBorder="1" applyAlignment="1">
      <alignment horizontal="left"/>
    </xf>
    <xf numFmtId="0" fontId="2" fillId="0" borderId="14" xfId="0" applyFont="1" applyBorder="1" applyAlignment="1">
      <alignment horizontal="left"/>
    </xf>
    <xf numFmtId="0" fontId="2" fillId="0" borderId="15" xfId="0" applyFont="1" applyBorder="1" applyAlignment="1">
      <alignment horizontal="left"/>
    </xf>
    <xf numFmtId="0" fontId="22" fillId="9" borderId="47" xfId="0" applyFont="1" applyFill="1" applyBorder="1" applyAlignment="1">
      <alignment horizontal="left" vertical="center"/>
    </xf>
    <xf numFmtId="0" fontId="22" fillId="9" borderId="48" xfId="0" applyFont="1" applyFill="1" applyBorder="1" applyAlignment="1">
      <alignment horizontal="left" vertical="center"/>
    </xf>
    <xf numFmtId="0" fontId="24" fillId="4" borderId="48" xfId="0" applyFont="1" applyFill="1" applyBorder="1" applyAlignment="1">
      <alignment horizontal="center" vertical="center" wrapText="1"/>
    </xf>
  </cellXfs>
  <cellStyles count="2">
    <cellStyle name="Normal" xfId="0" builtinId="0"/>
    <cellStyle name="Normal 2" xfId="1" xr:uid="{2F66FF5A-72E8-45E5-A032-B0A731DB9E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7267-4297-40B2-B6B1-22B8F9EB8DD3}">
  <dimension ref="A1:J254"/>
  <sheetViews>
    <sheetView tabSelected="1" zoomScale="70" zoomScaleNormal="70" workbookViewId="0"/>
  </sheetViews>
  <sheetFormatPr defaultColWidth="9.109375" defaultRowHeight="15.6" x14ac:dyDescent="0.3"/>
  <cols>
    <col min="1" max="1" width="4.6640625" style="106" bestFit="1" customWidth="1"/>
    <col min="2" max="2" width="52.6640625" style="58" customWidth="1"/>
    <col min="3" max="3" width="40.5546875" style="58" bestFit="1" customWidth="1"/>
    <col min="4" max="4" width="4.5546875" style="58" bestFit="1" customWidth="1"/>
    <col min="5" max="5" width="5.88671875" style="106" bestFit="1" customWidth="1"/>
    <col min="6" max="6" width="9" style="61" bestFit="1" customWidth="1"/>
    <col min="7" max="7" width="10" style="58" bestFit="1" customWidth="1"/>
    <col min="8" max="8" width="56" style="107" customWidth="1"/>
    <col min="9" max="9" width="60.33203125" style="106" customWidth="1"/>
    <col min="10" max="10" width="46.88671875" style="57" customWidth="1"/>
    <col min="11" max="11" width="52" style="58" customWidth="1"/>
    <col min="12" max="256" width="9.109375" style="58"/>
    <col min="257" max="257" width="4.6640625" style="58" bestFit="1" customWidth="1"/>
    <col min="258" max="258" width="52.6640625" style="58" customWidth="1"/>
    <col min="259" max="259" width="40.5546875" style="58" bestFit="1" customWidth="1"/>
    <col min="260" max="260" width="4.5546875" style="58" bestFit="1" customWidth="1"/>
    <col min="261" max="261" width="5.88671875" style="58" bestFit="1" customWidth="1"/>
    <col min="262" max="262" width="9" style="58" bestFit="1" customWidth="1"/>
    <col min="263" max="263" width="9" style="58" customWidth="1"/>
    <col min="264" max="264" width="56" style="58" customWidth="1"/>
    <col min="265" max="265" width="58" style="58" customWidth="1"/>
    <col min="266" max="266" width="43.6640625" style="58" customWidth="1"/>
    <col min="267" max="267" width="52" style="58" customWidth="1"/>
    <col min="268" max="512" width="9.109375" style="58"/>
    <col min="513" max="513" width="4.6640625" style="58" bestFit="1" customWidth="1"/>
    <col min="514" max="514" width="52.6640625" style="58" customWidth="1"/>
    <col min="515" max="515" width="40.5546875" style="58" bestFit="1" customWidth="1"/>
    <col min="516" max="516" width="4.5546875" style="58" bestFit="1" customWidth="1"/>
    <col min="517" max="517" width="5.88671875" style="58" bestFit="1" customWidth="1"/>
    <col min="518" max="518" width="9" style="58" bestFit="1" customWidth="1"/>
    <col min="519" max="519" width="9" style="58" customWidth="1"/>
    <col min="520" max="520" width="56" style="58" customWidth="1"/>
    <col min="521" max="521" width="58" style="58" customWidth="1"/>
    <col min="522" max="522" width="43.6640625" style="58" customWidth="1"/>
    <col min="523" max="523" width="52" style="58" customWidth="1"/>
    <col min="524" max="768" width="9.109375" style="58"/>
    <col min="769" max="769" width="4.6640625" style="58" bestFit="1" customWidth="1"/>
    <col min="770" max="770" width="52.6640625" style="58" customWidth="1"/>
    <col min="771" max="771" width="40.5546875" style="58" bestFit="1" customWidth="1"/>
    <col min="772" max="772" width="4.5546875" style="58" bestFit="1" customWidth="1"/>
    <col min="773" max="773" width="5.88671875" style="58" bestFit="1" customWidth="1"/>
    <col min="774" max="774" width="9" style="58" bestFit="1" customWidth="1"/>
    <col min="775" max="775" width="9" style="58" customWidth="1"/>
    <col min="776" max="776" width="56" style="58" customWidth="1"/>
    <col min="777" max="777" width="58" style="58" customWidth="1"/>
    <col min="778" max="778" width="43.6640625" style="58" customWidth="1"/>
    <col min="779" max="779" width="52" style="58" customWidth="1"/>
    <col min="780" max="1024" width="9.109375" style="58"/>
    <col min="1025" max="1025" width="4.6640625" style="58" bestFit="1" customWidth="1"/>
    <col min="1026" max="1026" width="52.6640625" style="58" customWidth="1"/>
    <col min="1027" max="1027" width="40.5546875" style="58" bestFit="1" customWidth="1"/>
    <col min="1028" max="1028" width="4.5546875" style="58" bestFit="1" customWidth="1"/>
    <col min="1029" max="1029" width="5.88671875" style="58" bestFit="1" customWidth="1"/>
    <col min="1030" max="1030" width="9" style="58" bestFit="1" customWidth="1"/>
    <col min="1031" max="1031" width="9" style="58" customWidth="1"/>
    <col min="1032" max="1032" width="56" style="58" customWidth="1"/>
    <col min="1033" max="1033" width="58" style="58" customWidth="1"/>
    <col min="1034" max="1034" width="43.6640625" style="58" customWidth="1"/>
    <col min="1035" max="1035" width="52" style="58" customWidth="1"/>
    <col min="1036" max="1280" width="9.109375" style="58"/>
    <col min="1281" max="1281" width="4.6640625" style="58" bestFit="1" customWidth="1"/>
    <col min="1282" max="1282" width="52.6640625" style="58" customWidth="1"/>
    <col min="1283" max="1283" width="40.5546875" style="58" bestFit="1" customWidth="1"/>
    <col min="1284" max="1284" width="4.5546875" style="58" bestFit="1" customWidth="1"/>
    <col min="1285" max="1285" width="5.88671875" style="58" bestFit="1" customWidth="1"/>
    <col min="1286" max="1286" width="9" style="58" bestFit="1" customWidth="1"/>
    <col min="1287" max="1287" width="9" style="58" customWidth="1"/>
    <col min="1288" max="1288" width="56" style="58" customWidth="1"/>
    <col min="1289" max="1289" width="58" style="58" customWidth="1"/>
    <col min="1290" max="1290" width="43.6640625" style="58" customWidth="1"/>
    <col min="1291" max="1291" width="52" style="58" customWidth="1"/>
    <col min="1292" max="1536" width="9.109375" style="58"/>
    <col min="1537" max="1537" width="4.6640625" style="58" bestFit="1" customWidth="1"/>
    <col min="1538" max="1538" width="52.6640625" style="58" customWidth="1"/>
    <col min="1539" max="1539" width="40.5546875" style="58" bestFit="1" customWidth="1"/>
    <col min="1540" max="1540" width="4.5546875" style="58" bestFit="1" customWidth="1"/>
    <col min="1541" max="1541" width="5.88671875" style="58" bestFit="1" customWidth="1"/>
    <col min="1542" max="1542" width="9" style="58" bestFit="1" customWidth="1"/>
    <col min="1543" max="1543" width="9" style="58" customWidth="1"/>
    <col min="1544" max="1544" width="56" style="58" customWidth="1"/>
    <col min="1545" max="1545" width="58" style="58" customWidth="1"/>
    <col min="1546" max="1546" width="43.6640625" style="58" customWidth="1"/>
    <col min="1547" max="1547" width="52" style="58" customWidth="1"/>
    <col min="1548" max="1792" width="9.109375" style="58"/>
    <col min="1793" max="1793" width="4.6640625" style="58" bestFit="1" customWidth="1"/>
    <col min="1794" max="1794" width="52.6640625" style="58" customWidth="1"/>
    <col min="1795" max="1795" width="40.5546875" style="58" bestFit="1" customWidth="1"/>
    <col min="1796" max="1796" width="4.5546875" style="58" bestFit="1" customWidth="1"/>
    <col min="1797" max="1797" width="5.88671875" style="58" bestFit="1" customWidth="1"/>
    <col min="1798" max="1798" width="9" style="58" bestFit="1" customWidth="1"/>
    <col min="1799" max="1799" width="9" style="58" customWidth="1"/>
    <col min="1800" max="1800" width="56" style="58" customWidth="1"/>
    <col min="1801" max="1801" width="58" style="58" customWidth="1"/>
    <col min="1802" max="1802" width="43.6640625" style="58" customWidth="1"/>
    <col min="1803" max="1803" width="52" style="58" customWidth="1"/>
    <col min="1804" max="2048" width="9.109375" style="58"/>
    <col min="2049" max="2049" width="4.6640625" style="58" bestFit="1" customWidth="1"/>
    <col min="2050" max="2050" width="52.6640625" style="58" customWidth="1"/>
    <col min="2051" max="2051" width="40.5546875" style="58" bestFit="1" customWidth="1"/>
    <col min="2052" max="2052" width="4.5546875" style="58" bestFit="1" customWidth="1"/>
    <col min="2053" max="2053" width="5.88671875" style="58" bestFit="1" customWidth="1"/>
    <col min="2054" max="2054" width="9" style="58" bestFit="1" customWidth="1"/>
    <col min="2055" max="2055" width="9" style="58" customWidth="1"/>
    <col min="2056" max="2056" width="56" style="58" customWidth="1"/>
    <col min="2057" max="2057" width="58" style="58" customWidth="1"/>
    <col min="2058" max="2058" width="43.6640625" style="58" customWidth="1"/>
    <col min="2059" max="2059" width="52" style="58" customWidth="1"/>
    <col min="2060" max="2304" width="9.109375" style="58"/>
    <col min="2305" max="2305" width="4.6640625" style="58" bestFit="1" customWidth="1"/>
    <col min="2306" max="2306" width="52.6640625" style="58" customWidth="1"/>
    <col min="2307" max="2307" width="40.5546875" style="58" bestFit="1" customWidth="1"/>
    <col min="2308" max="2308" width="4.5546875" style="58" bestFit="1" customWidth="1"/>
    <col min="2309" max="2309" width="5.88671875" style="58" bestFit="1" customWidth="1"/>
    <col min="2310" max="2310" width="9" style="58" bestFit="1" customWidth="1"/>
    <col min="2311" max="2311" width="9" style="58" customWidth="1"/>
    <col min="2312" max="2312" width="56" style="58" customWidth="1"/>
    <col min="2313" max="2313" width="58" style="58" customWidth="1"/>
    <col min="2314" max="2314" width="43.6640625" style="58" customWidth="1"/>
    <col min="2315" max="2315" width="52" style="58" customWidth="1"/>
    <col min="2316" max="2560" width="9.109375" style="58"/>
    <col min="2561" max="2561" width="4.6640625" style="58" bestFit="1" customWidth="1"/>
    <col min="2562" max="2562" width="52.6640625" style="58" customWidth="1"/>
    <col min="2563" max="2563" width="40.5546875" style="58" bestFit="1" customWidth="1"/>
    <col min="2564" max="2564" width="4.5546875" style="58" bestFit="1" customWidth="1"/>
    <col min="2565" max="2565" width="5.88671875" style="58" bestFit="1" customWidth="1"/>
    <col min="2566" max="2566" width="9" style="58" bestFit="1" customWidth="1"/>
    <col min="2567" max="2567" width="9" style="58" customWidth="1"/>
    <col min="2568" max="2568" width="56" style="58" customWidth="1"/>
    <col min="2569" max="2569" width="58" style="58" customWidth="1"/>
    <col min="2570" max="2570" width="43.6640625" style="58" customWidth="1"/>
    <col min="2571" max="2571" width="52" style="58" customWidth="1"/>
    <col min="2572" max="2816" width="9.109375" style="58"/>
    <col min="2817" max="2817" width="4.6640625" style="58" bestFit="1" customWidth="1"/>
    <col min="2818" max="2818" width="52.6640625" style="58" customWidth="1"/>
    <col min="2819" max="2819" width="40.5546875" style="58" bestFit="1" customWidth="1"/>
    <col min="2820" max="2820" width="4.5546875" style="58" bestFit="1" customWidth="1"/>
    <col min="2821" max="2821" width="5.88671875" style="58" bestFit="1" customWidth="1"/>
    <col min="2822" max="2822" width="9" style="58" bestFit="1" customWidth="1"/>
    <col min="2823" max="2823" width="9" style="58" customWidth="1"/>
    <col min="2824" max="2824" width="56" style="58" customWidth="1"/>
    <col min="2825" max="2825" width="58" style="58" customWidth="1"/>
    <col min="2826" max="2826" width="43.6640625" style="58" customWidth="1"/>
    <col min="2827" max="2827" width="52" style="58" customWidth="1"/>
    <col min="2828" max="3072" width="9.109375" style="58"/>
    <col min="3073" max="3073" width="4.6640625" style="58" bestFit="1" customWidth="1"/>
    <col min="3074" max="3074" width="52.6640625" style="58" customWidth="1"/>
    <col min="3075" max="3075" width="40.5546875" style="58" bestFit="1" customWidth="1"/>
    <col min="3076" max="3076" width="4.5546875" style="58" bestFit="1" customWidth="1"/>
    <col min="3077" max="3077" width="5.88671875" style="58" bestFit="1" customWidth="1"/>
    <col min="3078" max="3078" width="9" style="58" bestFit="1" customWidth="1"/>
    <col min="3079" max="3079" width="9" style="58" customWidth="1"/>
    <col min="3080" max="3080" width="56" style="58" customWidth="1"/>
    <col min="3081" max="3081" width="58" style="58" customWidth="1"/>
    <col min="3082" max="3082" width="43.6640625" style="58" customWidth="1"/>
    <col min="3083" max="3083" width="52" style="58" customWidth="1"/>
    <col min="3084" max="3328" width="9.109375" style="58"/>
    <col min="3329" max="3329" width="4.6640625" style="58" bestFit="1" customWidth="1"/>
    <col min="3330" max="3330" width="52.6640625" style="58" customWidth="1"/>
    <col min="3331" max="3331" width="40.5546875" style="58" bestFit="1" customWidth="1"/>
    <col min="3332" max="3332" width="4.5546875" style="58" bestFit="1" customWidth="1"/>
    <col min="3333" max="3333" width="5.88671875" style="58" bestFit="1" customWidth="1"/>
    <col min="3334" max="3334" width="9" style="58" bestFit="1" customWidth="1"/>
    <col min="3335" max="3335" width="9" style="58" customWidth="1"/>
    <col min="3336" max="3336" width="56" style="58" customWidth="1"/>
    <col min="3337" max="3337" width="58" style="58" customWidth="1"/>
    <col min="3338" max="3338" width="43.6640625" style="58" customWidth="1"/>
    <col min="3339" max="3339" width="52" style="58" customWidth="1"/>
    <col min="3340" max="3584" width="9.109375" style="58"/>
    <col min="3585" max="3585" width="4.6640625" style="58" bestFit="1" customWidth="1"/>
    <col min="3586" max="3586" width="52.6640625" style="58" customWidth="1"/>
    <col min="3587" max="3587" width="40.5546875" style="58" bestFit="1" customWidth="1"/>
    <col min="3588" max="3588" width="4.5546875" style="58" bestFit="1" customWidth="1"/>
    <col min="3589" max="3589" width="5.88671875" style="58" bestFit="1" customWidth="1"/>
    <col min="3590" max="3590" width="9" style="58" bestFit="1" customWidth="1"/>
    <col min="3591" max="3591" width="9" style="58" customWidth="1"/>
    <col min="3592" max="3592" width="56" style="58" customWidth="1"/>
    <col min="3593" max="3593" width="58" style="58" customWidth="1"/>
    <col min="3594" max="3594" width="43.6640625" style="58" customWidth="1"/>
    <col min="3595" max="3595" width="52" style="58" customWidth="1"/>
    <col min="3596" max="3840" width="9.109375" style="58"/>
    <col min="3841" max="3841" width="4.6640625" style="58" bestFit="1" customWidth="1"/>
    <col min="3842" max="3842" width="52.6640625" style="58" customWidth="1"/>
    <col min="3843" max="3843" width="40.5546875" style="58" bestFit="1" customWidth="1"/>
    <col min="3844" max="3844" width="4.5546875" style="58" bestFit="1" customWidth="1"/>
    <col min="3845" max="3845" width="5.88671875" style="58" bestFit="1" customWidth="1"/>
    <col min="3846" max="3846" width="9" style="58" bestFit="1" customWidth="1"/>
    <col min="3847" max="3847" width="9" style="58" customWidth="1"/>
    <col min="3848" max="3848" width="56" style="58" customWidth="1"/>
    <col min="3849" max="3849" width="58" style="58" customWidth="1"/>
    <col min="3850" max="3850" width="43.6640625" style="58" customWidth="1"/>
    <col min="3851" max="3851" width="52" style="58" customWidth="1"/>
    <col min="3852" max="4096" width="9.109375" style="58"/>
    <col min="4097" max="4097" width="4.6640625" style="58" bestFit="1" customWidth="1"/>
    <col min="4098" max="4098" width="52.6640625" style="58" customWidth="1"/>
    <col min="4099" max="4099" width="40.5546875" style="58" bestFit="1" customWidth="1"/>
    <col min="4100" max="4100" width="4.5546875" style="58" bestFit="1" customWidth="1"/>
    <col min="4101" max="4101" width="5.88671875" style="58" bestFit="1" customWidth="1"/>
    <col min="4102" max="4102" width="9" style="58" bestFit="1" customWidth="1"/>
    <col min="4103" max="4103" width="9" style="58" customWidth="1"/>
    <col min="4104" max="4104" width="56" style="58" customWidth="1"/>
    <col min="4105" max="4105" width="58" style="58" customWidth="1"/>
    <col min="4106" max="4106" width="43.6640625" style="58" customWidth="1"/>
    <col min="4107" max="4107" width="52" style="58" customWidth="1"/>
    <col min="4108" max="4352" width="9.109375" style="58"/>
    <col min="4353" max="4353" width="4.6640625" style="58" bestFit="1" customWidth="1"/>
    <col min="4354" max="4354" width="52.6640625" style="58" customWidth="1"/>
    <col min="4355" max="4355" width="40.5546875" style="58" bestFit="1" customWidth="1"/>
    <col min="4356" max="4356" width="4.5546875" style="58" bestFit="1" customWidth="1"/>
    <col min="4357" max="4357" width="5.88671875" style="58" bestFit="1" customWidth="1"/>
    <col min="4358" max="4358" width="9" style="58" bestFit="1" customWidth="1"/>
    <col min="4359" max="4359" width="9" style="58" customWidth="1"/>
    <col min="4360" max="4360" width="56" style="58" customWidth="1"/>
    <col min="4361" max="4361" width="58" style="58" customWidth="1"/>
    <col min="4362" max="4362" width="43.6640625" style="58" customWidth="1"/>
    <col min="4363" max="4363" width="52" style="58" customWidth="1"/>
    <col min="4364" max="4608" width="9.109375" style="58"/>
    <col min="4609" max="4609" width="4.6640625" style="58" bestFit="1" customWidth="1"/>
    <col min="4610" max="4610" width="52.6640625" style="58" customWidth="1"/>
    <col min="4611" max="4611" width="40.5546875" style="58" bestFit="1" customWidth="1"/>
    <col min="4612" max="4612" width="4.5546875" style="58" bestFit="1" customWidth="1"/>
    <col min="4613" max="4613" width="5.88671875" style="58" bestFit="1" customWidth="1"/>
    <col min="4614" max="4614" width="9" style="58" bestFit="1" customWidth="1"/>
    <col min="4615" max="4615" width="9" style="58" customWidth="1"/>
    <col min="4616" max="4616" width="56" style="58" customWidth="1"/>
    <col min="4617" max="4617" width="58" style="58" customWidth="1"/>
    <col min="4618" max="4618" width="43.6640625" style="58" customWidth="1"/>
    <col min="4619" max="4619" width="52" style="58" customWidth="1"/>
    <col min="4620" max="4864" width="9.109375" style="58"/>
    <col min="4865" max="4865" width="4.6640625" style="58" bestFit="1" customWidth="1"/>
    <col min="4866" max="4866" width="52.6640625" style="58" customWidth="1"/>
    <col min="4867" max="4867" width="40.5546875" style="58" bestFit="1" customWidth="1"/>
    <col min="4868" max="4868" width="4.5546875" style="58" bestFit="1" customWidth="1"/>
    <col min="4869" max="4869" width="5.88671875" style="58" bestFit="1" customWidth="1"/>
    <col min="4870" max="4870" width="9" style="58" bestFit="1" customWidth="1"/>
    <col min="4871" max="4871" width="9" style="58" customWidth="1"/>
    <col min="4872" max="4872" width="56" style="58" customWidth="1"/>
    <col min="4873" max="4873" width="58" style="58" customWidth="1"/>
    <col min="4874" max="4874" width="43.6640625" style="58" customWidth="1"/>
    <col min="4875" max="4875" width="52" style="58" customWidth="1"/>
    <col min="4876" max="5120" width="9.109375" style="58"/>
    <col min="5121" max="5121" width="4.6640625" style="58" bestFit="1" customWidth="1"/>
    <col min="5122" max="5122" width="52.6640625" style="58" customWidth="1"/>
    <col min="5123" max="5123" width="40.5546875" style="58" bestFit="1" customWidth="1"/>
    <col min="5124" max="5124" width="4.5546875" style="58" bestFit="1" customWidth="1"/>
    <col min="5125" max="5125" width="5.88671875" style="58" bestFit="1" customWidth="1"/>
    <col min="5126" max="5126" width="9" style="58" bestFit="1" customWidth="1"/>
    <col min="5127" max="5127" width="9" style="58" customWidth="1"/>
    <col min="5128" max="5128" width="56" style="58" customWidth="1"/>
    <col min="5129" max="5129" width="58" style="58" customWidth="1"/>
    <col min="5130" max="5130" width="43.6640625" style="58" customWidth="1"/>
    <col min="5131" max="5131" width="52" style="58" customWidth="1"/>
    <col min="5132" max="5376" width="9.109375" style="58"/>
    <col min="5377" max="5377" width="4.6640625" style="58" bestFit="1" customWidth="1"/>
    <col min="5378" max="5378" width="52.6640625" style="58" customWidth="1"/>
    <col min="5379" max="5379" width="40.5546875" style="58" bestFit="1" customWidth="1"/>
    <col min="5380" max="5380" width="4.5546875" style="58" bestFit="1" customWidth="1"/>
    <col min="5381" max="5381" width="5.88671875" style="58" bestFit="1" customWidth="1"/>
    <col min="5382" max="5382" width="9" style="58" bestFit="1" customWidth="1"/>
    <col min="5383" max="5383" width="9" style="58" customWidth="1"/>
    <col min="5384" max="5384" width="56" style="58" customWidth="1"/>
    <col min="5385" max="5385" width="58" style="58" customWidth="1"/>
    <col min="5386" max="5386" width="43.6640625" style="58" customWidth="1"/>
    <col min="5387" max="5387" width="52" style="58" customWidth="1"/>
    <col min="5388" max="5632" width="9.109375" style="58"/>
    <col min="5633" max="5633" width="4.6640625" style="58" bestFit="1" customWidth="1"/>
    <col min="5634" max="5634" width="52.6640625" style="58" customWidth="1"/>
    <col min="5635" max="5635" width="40.5546875" style="58" bestFit="1" customWidth="1"/>
    <col min="5636" max="5636" width="4.5546875" style="58" bestFit="1" customWidth="1"/>
    <col min="5637" max="5637" width="5.88671875" style="58" bestFit="1" customWidth="1"/>
    <col min="5638" max="5638" width="9" style="58" bestFit="1" customWidth="1"/>
    <col min="5639" max="5639" width="9" style="58" customWidth="1"/>
    <col min="5640" max="5640" width="56" style="58" customWidth="1"/>
    <col min="5641" max="5641" width="58" style="58" customWidth="1"/>
    <col min="5642" max="5642" width="43.6640625" style="58" customWidth="1"/>
    <col min="5643" max="5643" width="52" style="58" customWidth="1"/>
    <col min="5644" max="5888" width="9.109375" style="58"/>
    <col min="5889" max="5889" width="4.6640625" style="58" bestFit="1" customWidth="1"/>
    <col min="5890" max="5890" width="52.6640625" style="58" customWidth="1"/>
    <col min="5891" max="5891" width="40.5546875" style="58" bestFit="1" customWidth="1"/>
    <col min="5892" max="5892" width="4.5546875" style="58" bestFit="1" customWidth="1"/>
    <col min="5893" max="5893" width="5.88671875" style="58" bestFit="1" customWidth="1"/>
    <col min="5894" max="5894" width="9" style="58" bestFit="1" customWidth="1"/>
    <col min="5895" max="5895" width="9" style="58" customWidth="1"/>
    <col min="5896" max="5896" width="56" style="58" customWidth="1"/>
    <col min="5897" max="5897" width="58" style="58" customWidth="1"/>
    <col min="5898" max="5898" width="43.6640625" style="58" customWidth="1"/>
    <col min="5899" max="5899" width="52" style="58" customWidth="1"/>
    <col min="5900" max="6144" width="9.109375" style="58"/>
    <col min="6145" max="6145" width="4.6640625" style="58" bestFit="1" customWidth="1"/>
    <col min="6146" max="6146" width="52.6640625" style="58" customWidth="1"/>
    <col min="6147" max="6147" width="40.5546875" style="58" bestFit="1" customWidth="1"/>
    <col min="6148" max="6148" width="4.5546875" style="58" bestFit="1" customWidth="1"/>
    <col min="6149" max="6149" width="5.88671875" style="58" bestFit="1" customWidth="1"/>
    <col min="6150" max="6150" width="9" style="58" bestFit="1" customWidth="1"/>
    <col min="6151" max="6151" width="9" style="58" customWidth="1"/>
    <col min="6152" max="6152" width="56" style="58" customWidth="1"/>
    <col min="6153" max="6153" width="58" style="58" customWidth="1"/>
    <col min="6154" max="6154" width="43.6640625" style="58" customWidth="1"/>
    <col min="6155" max="6155" width="52" style="58" customWidth="1"/>
    <col min="6156" max="6400" width="9.109375" style="58"/>
    <col min="6401" max="6401" width="4.6640625" style="58" bestFit="1" customWidth="1"/>
    <col min="6402" max="6402" width="52.6640625" style="58" customWidth="1"/>
    <col min="6403" max="6403" width="40.5546875" style="58" bestFit="1" customWidth="1"/>
    <col min="6404" max="6404" width="4.5546875" style="58" bestFit="1" customWidth="1"/>
    <col min="6405" max="6405" width="5.88671875" style="58" bestFit="1" customWidth="1"/>
    <col min="6406" max="6406" width="9" style="58" bestFit="1" customWidth="1"/>
    <col min="6407" max="6407" width="9" style="58" customWidth="1"/>
    <col min="6408" max="6408" width="56" style="58" customWidth="1"/>
    <col min="6409" max="6409" width="58" style="58" customWidth="1"/>
    <col min="6410" max="6410" width="43.6640625" style="58" customWidth="1"/>
    <col min="6411" max="6411" width="52" style="58" customWidth="1"/>
    <col min="6412" max="6656" width="9.109375" style="58"/>
    <col min="6657" max="6657" width="4.6640625" style="58" bestFit="1" customWidth="1"/>
    <col min="6658" max="6658" width="52.6640625" style="58" customWidth="1"/>
    <col min="6659" max="6659" width="40.5546875" style="58" bestFit="1" customWidth="1"/>
    <col min="6660" max="6660" width="4.5546875" style="58" bestFit="1" customWidth="1"/>
    <col min="6661" max="6661" width="5.88671875" style="58" bestFit="1" customWidth="1"/>
    <col min="6662" max="6662" width="9" style="58" bestFit="1" customWidth="1"/>
    <col min="6663" max="6663" width="9" style="58" customWidth="1"/>
    <col min="6664" max="6664" width="56" style="58" customWidth="1"/>
    <col min="6665" max="6665" width="58" style="58" customWidth="1"/>
    <col min="6666" max="6666" width="43.6640625" style="58" customWidth="1"/>
    <col min="6667" max="6667" width="52" style="58" customWidth="1"/>
    <col min="6668" max="6912" width="9.109375" style="58"/>
    <col min="6913" max="6913" width="4.6640625" style="58" bestFit="1" customWidth="1"/>
    <col min="6914" max="6914" width="52.6640625" style="58" customWidth="1"/>
    <col min="6915" max="6915" width="40.5546875" style="58" bestFit="1" customWidth="1"/>
    <col min="6916" max="6916" width="4.5546875" style="58" bestFit="1" customWidth="1"/>
    <col min="6917" max="6917" width="5.88671875" style="58" bestFit="1" customWidth="1"/>
    <col min="6918" max="6918" width="9" style="58" bestFit="1" customWidth="1"/>
    <col min="6919" max="6919" width="9" style="58" customWidth="1"/>
    <col min="6920" max="6920" width="56" style="58" customWidth="1"/>
    <col min="6921" max="6921" width="58" style="58" customWidth="1"/>
    <col min="6922" max="6922" width="43.6640625" style="58" customWidth="1"/>
    <col min="6923" max="6923" width="52" style="58" customWidth="1"/>
    <col min="6924" max="7168" width="9.109375" style="58"/>
    <col min="7169" max="7169" width="4.6640625" style="58" bestFit="1" customWidth="1"/>
    <col min="7170" max="7170" width="52.6640625" style="58" customWidth="1"/>
    <col min="7171" max="7171" width="40.5546875" style="58" bestFit="1" customWidth="1"/>
    <col min="7172" max="7172" width="4.5546875" style="58" bestFit="1" customWidth="1"/>
    <col min="7173" max="7173" width="5.88671875" style="58" bestFit="1" customWidth="1"/>
    <col min="7174" max="7174" width="9" style="58" bestFit="1" customWidth="1"/>
    <col min="7175" max="7175" width="9" style="58" customWidth="1"/>
    <col min="7176" max="7176" width="56" style="58" customWidth="1"/>
    <col min="7177" max="7177" width="58" style="58" customWidth="1"/>
    <col min="7178" max="7178" width="43.6640625" style="58" customWidth="1"/>
    <col min="7179" max="7179" width="52" style="58" customWidth="1"/>
    <col min="7180" max="7424" width="9.109375" style="58"/>
    <col min="7425" max="7425" width="4.6640625" style="58" bestFit="1" customWidth="1"/>
    <col min="7426" max="7426" width="52.6640625" style="58" customWidth="1"/>
    <col min="7427" max="7427" width="40.5546875" style="58" bestFit="1" customWidth="1"/>
    <col min="7428" max="7428" width="4.5546875" style="58" bestFit="1" customWidth="1"/>
    <col min="7429" max="7429" width="5.88671875" style="58" bestFit="1" customWidth="1"/>
    <col min="7430" max="7430" width="9" style="58" bestFit="1" customWidth="1"/>
    <col min="7431" max="7431" width="9" style="58" customWidth="1"/>
    <col min="7432" max="7432" width="56" style="58" customWidth="1"/>
    <col min="7433" max="7433" width="58" style="58" customWidth="1"/>
    <col min="7434" max="7434" width="43.6640625" style="58" customWidth="1"/>
    <col min="7435" max="7435" width="52" style="58" customWidth="1"/>
    <col min="7436" max="7680" width="9.109375" style="58"/>
    <col min="7681" max="7681" width="4.6640625" style="58" bestFit="1" customWidth="1"/>
    <col min="7682" max="7682" width="52.6640625" style="58" customWidth="1"/>
    <col min="7683" max="7683" width="40.5546875" style="58" bestFit="1" customWidth="1"/>
    <col min="7684" max="7684" width="4.5546875" style="58" bestFit="1" customWidth="1"/>
    <col min="7685" max="7685" width="5.88671875" style="58" bestFit="1" customWidth="1"/>
    <col min="7686" max="7686" width="9" style="58" bestFit="1" customWidth="1"/>
    <col min="7687" max="7687" width="9" style="58" customWidth="1"/>
    <col min="7688" max="7688" width="56" style="58" customWidth="1"/>
    <col min="7689" max="7689" width="58" style="58" customWidth="1"/>
    <col min="7690" max="7690" width="43.6640625" style="58" customWidth="1"/>
    <col min="7691" max="7691" width="52" style="58" customWidth="1"/>
    <col min="7692" max="7936" width="9.109375" style="58"/>
    <col min="7937" max="7937" width="4.6640625" style="58" bestFit="1" customWidth="1"/>
    <col min="7938" max="7938" width="52.6640625" style="58" customWidth="1"/>
    <col min="7939" max="7939" width="40.5546875" style="58" bestFit="1" customWidth="1"/>
    <col min="7940" max="7940" width="4.5546875" style="58" bestFit="1" customWidth="1"/>
    <col min="7941" max="7941" width="5.88671875" style="58" bestFit="1" customWidth="1"/>
    <col min="7942" max="7942" width="9" style="58" bestFit="1" customWidth="1"/>
    <col min="7943" max="7943" width="9" style="58" customWidth="1"/>
    <col min="7944" max="7944" width="56" style="58" customWidth="1"/>
    <col min="7945" max="7945" width="58" style="58" customWidth="1"/>
    <col min="7946" max="7946" width="43.6640625" style="58" customWidth="1"/>
    <col min="7947" max="7947" width="52" style="58" customWidth="1"/>
    <col min="7948" max="8192" width="9.109375" style="58"/>
    <col min="8193" max="8193" width="4.6640625" style="58" bestFit="1" customWidth="1"/>
    <col min="8194" max="8194" width="52.6640625" style="58" customWidth="1"/>
    <col min="8195" max="8195" width="40.5546875" style="58" bestFit="1" customWidth="1"/>
    <col min="8196" max="8196" width="4.5546875" style="58" bestFit="1" customWidth="1"/>
    <col min="8197" max="8197" width="5.88671875" style="58" bestFit="1" customWidth="1"/>
    <col min="8198" max="8198" width="9" style="58" bestFit="1" customWidth="1"/>
    <col min="8199" max="8199" width="9" style="58" customWidth="1"/>
    <col min="8200" max="8200" width="56" style="58" customWidth="1"/>
    <col min="8201" max="8201" width="58" style="58" customWidth="1"/>
    <col min="8202" max="8202" width="43.6640625" style="58" customWidth="1"/>
    <col min="8203" max="8203" width="52" style="58" customWidth="1"/>
    <col min="8204" max="8448" width="9.109375" style="58"/>
    <col min="8449" max="8449" width="4.6640625" style="58" bestFit="1" customWidth="1"/>
    <col min="8450" max="8450" width="52.6640625" style="58" customWidth="1"/>
    <col min="8451" max="8451" width="40.5546875" style="58" bestFit="1" customWidth="1"/>
    <col min="8452" max="8452" width="4.5546875" style="58" bestFit="1" customWidth="1"/>
    <col min="8453" max="8453" width="5.88671875" style="58" bestFit="1" customWidth="1"/>
    <col min="8454" max="8454" width="9" style="58" bestFit="1" customWidth="1"/>
    <col min="8455" max="8455" width="9" style="58" customWidth="1"/>
    <col min="8456" max="8456" width="56" style="58" customWidth="1"/>
    <col min="8457" max="8457" width="58" style="58" customWidth="1"/>
    <col min="8458" max="8458" width="43.6640625" style="58" customWidth="1"/>
    <col min="8459" max="8459" width="52" style="58" customWidth="1"/>
    <col min="8460" max="8704" width="9.109375" style="58"/>
    <col min="8705" max="8705" width="4.6640625" style="58" bestFit="1" customWidth="1"/>
    <col min="8706" max="8706" width="52.6640625" style="58" customWidth="1"/>
    <col min="8707" max="8707" width="40.5546875" style="58" bestFit="1" customWidth="1"/>
    <col min="8708" max="8708" width="4.5546875" style="58" bestFit="1" customWidth="1"/>
    <col min="8709" max="8709" width="5.88671875" style="58" bestFit="1" customWidth="1"/>
    <col min="8710" max="8710" width="9" style="58" bestFit="1" customWidth="1"/>
    <col min="8711" max="8711" width="9" style="58" customWidth="1"/>
    <col min="8712" max="8712" width="56" style="58" customWidth="1"/>
    <col min="8713" max="8713" width="58" style="58" customWidth="1"/>
    <col min="8714" max="8714" width="43.6640625" style="58" customWidth="1"/>
    <col min="8715" max="8715" width="52" style="58" customWidth="1"/>
    <col min="8716" max="8960" width="9.109375" style="58"/>
    <col min="8961" max="8961" width="4.6640625" style="58" bestFit="1" customWidth="1"/>
    <col min="8962" max="8962" width="52.6640625" style="58" customWidth="1"/>
    <col min="8963" max="8963" width="40.5546875" style="58" bestFit="1" customWidth="1"/>
    <col min="8964" max="8964" width="4.5546875" style="58" bestFit="1" customWidth="1"/>
    <col min="8965" max="8965" width="5.88671875" style="58" bestFit="1" customWidth="1"/>
    <col min="8966" max="8966" width="9" style="58" bestFit="1" customWidth="1"/>
    <col min="8967" max="8967" width="9" style="58" customWidth="1"/>
    <col min="8968" max="8968" width="56" style="58" customWidth="1"/>
    <col min="8969" max="8969" width="58" style="58" customWidth="1"/>
    <col min="8970" max="8970" width="43.6640625" style="58" customWidth="1"/>
    <col min="8971" max="8971" width="52" style="58" customWidth="1"/>
    <col min="8972" max="9216" width="9.109375" style="58"/>
    <col min="9217" max="9217" width="4.6640625" style="58" bestFit="1" customWidth="1"/>
    <col min="9218" max="9218" width="52.6640625" style="58" customWidth="1"/>
    <col min="9219" max="9219" width="40.5546875" style="58" bestFit="1" customWidth="1"/>
    <col min="9220" max="9220" width="4.5546875" style="58" bestFit="1" customWidth="1"/>
    <col min="9221" max="9221" width="5.88671875" style="58" bestFit="1" customWidth="1"/>
    <col min="9222" max="9222" width="9" style="58" bestFit="1" customWidth="1"/>
    <col min="9223" max="9223" width="9" style="58" customWidth="1"/>
    <col min="9224" max="9224" width="56" style="58" customWidth="1"/>
    <col min="9225" max="9225" width="58" style="58" customWidth="1"/>
    <col min="9226" max="9226" width="43.6640625" style="58" customWidth="1"/>
    <col min="9227" max="9227" width="52" style="58" customWidth="1"/>
    <col min="9228" max="9472" width="9.109375" style="58"/>
    <col min="9473" max="9473" width="4.6640625" style="58" bestFit="1" customWidth="1"/>
    <col min="9474" max="9474" width="52.6640625" style="58" customWidth="1"/>
    <col min="9475" max="9475" width="40.5546875" style="58" bestFit="1" customWidth="1"/>
    <col min="9476" max="9476" width="4.5546875" style="58" bestFit="1" customWidth="1"/>
    <col min="9477" max="9477" width="5.88671875" style="58" bestFit="1" customWidth="1"/>
    <col min="9478" max="9478" width="9" style="58" bestFit="1" customWidth="1"/>
    <col min="9479" max="9479" width="9" style="58" customWidth="1"/>
    <col min="9480" max="9480" width="56" style="58" customWidth="1"/>
    <col min="9481" max="9481" width="58" style="58" customWidth="1"/>
    <col min="9482" max="9482" width="43.6640625" style="58" customWidth="1"/>
    <col min="9483" max="9483" width="52" style="58" customWidth="1"/>
    <col min="9484" max="9728" width="9.109375" style="58"/>
    <col min="9729" max="9729" width="4.6640625" style="58" bestFit="1" customWidth="1"/>
    <col min="9730" max="9730" width="52.6640625" style="58" customWidth="1"/>
    <col min="9731" max="9731" width="40.5546875" style="58" bestFit="1" customWidth="1"/>
    <col min="9732" max="9732" width="4.5546875" style="58" bestFit="1" customWidth="1"/>
    <col min="9733" max="9733" width="5.88671875" style="58" bestFit="1" customWidth="1"/>
    <col min="9734" max="9734" width="9" style="58" bestFit="1" customWidth="1"/>
    <col min="9735" max="9735" width="9" style="58" customWidth="1"/>
    <col min="9736" max="9736" width="56" style="58" customWidth="1"/>
    <col min="9737" max="9737" width="58" style="58" customWidth="1"/>
    <col min="9738" max="9738" width="43.6640625" style="58" customWidth="1"/>
    <col min="9739" max="9739" width="52" style="58" customWidth="1"/>
    <col min="9740" max="9984" width="9.109375" style="58"/>
    <col min="9985" max="9985" width="4.6640625" style="58" bestFit="1" customWidth="1"/>
    <col min="9986" max="9986" width="52.6640625" style="58" customWidth="1"/>
    <col min="9987" max="9987" width="40.5546875" style="58" bestFit="1" customWidth="1"/>
    <col min="9988" max="9988" width="4.5546875" style="58" bestFit="1" customWidth="1"/>
    <col min="9989" max="9989" width="5.88671875" style="58" bestFit="1" customWidth="1"/>
    <col min="9990" max="9990" width="9" style="58" bestFit="1" customWidth="1"/>
    <col min="9991" max="9991" width="9" style="58" customWidth="1"/>
    <col min="9992" max="9992" width="56" style="58" customWidth="1"/>
    <col min="9993" max="9993" width="58" style="58" customWidth="1"/>
    <col min="9994" max="9994" width="43.6640625" style="58" customWidth="1"/>
    <col min="9995" max="9995" width="52" style="58" customWidth="1"/>
    <col min="9996" max="10240" width="9.109375" style="58"/>
    <col min="10241" max="10241" width="4.6640625" style="58" bestFit="1" customWidth="1"/>
    <col min="10242" max="10242" width="52.6640625" style="58" customWidth="1"/>
    <col min="10243" max="10243" width="40.5546875" style="58" bestFit="1" customWidth="1"/>
    <col min="10244" max="10244" width="4.5546875" style="58" bestFit="1" customWidth="1"/>
    <col min="10245" max="10245" width="5.88671875" style="58" bestFit="1" customWidth="1"/>
    <col min="10246" max="10246" width="9" style="58" bestFit="1" customWidth="1"/>
    <col min="10247" max="10247" width="9" style="58" customWidth="1"/>
    <col min="10248" max="10248" width="56" style="58" customWidth="1"/>
    <col min="10249" max="10249" width="58" style="58" customWidth="1"/>
    <col min="10250" max="10250" width="43.6640625" style="58" customWidth="1"/>
    <col min="10251" max="10251" width="52" style="58" customWidth="1"/>
    <col min="10252" max="10496" width="9.109375" style="58"/>
    <col min="10497" max="10497" width="4.6640625" style="58" bestFit="1" customWidth="1"/>
    <col min="10498" max="10498" width="52.6640625" style="58" customWidth="1"/>
    <col min="10499" max="10499" width="40.5546875" style="58" bestFit="1" customWidth="1"/>
    <col min="10500" max="10500" width="4.5546875" style="58" bestFit="1" customWidth="1"/>
    <col min="10501" max="10501" width="5.88671875" style="58" bestFit="1" customWidth="1"/>
    <col min="10502" max="10502" width="9" style="58" bestFit="1" customWidth="1"/>
    <col min="10503" max="10503" width="9" style="58" customWidth="1"/>
    <col min="10504" max="10504" width="56" style="58" customWidth="1"/>
    <col min="10505" max="10505" width="58" style="58" customWidth="1"/>
    <col min="10506" max="10506" width="43.6640625" style="58" customWidth="1"/>
    <col min="10507" max="10507" width="52" style="58" customWidth="1"/>
    <col min="10508" max="10752" width="9.109375" style="58"/>
    <col min="10753" max="10753" width="4.6640625" style="58" bestFit="1" customWidth="1"/>
    <col min="10754" max="10754" width="52.6640625" style="58" customWidth="1"/>
    <col min="10755" max="10755" width="40.5546875" style="58" bestFit="1" customWidth="1"/>
    <col min="10756" max="10756" width="4.5546875" style="58" bestFit="1" customWidth="1"/>
    <col min="10757" max="10757" width="5.88671875" style="58" bestFit="1" customWidth="1"/>
    <col min="10758" max="10758" width="9" style="58" bestFit="1" customWidth="1"/>
    <col min="10759" max="10759" width="9" style="58" customWidth="1"/>
    <col min="10760" max="10760" width="56" style="58" customWidth="1"/>
    <col min="10761" max="10761" width="58" style="58" customWidth="1"/>
    <col min="10762" max="10762" width="43.6640625" style="58" customWidth="1"/>
    <col min="10763" max="10763" width="52" style="58" customWidth="1"/>
    <col min="10764" max="11008" width="9.109375" style="58"/>
    <col min="11009" max="11009" width="4.6640625" style="58" bestFit="1" customWidth="1"/>
    <col min="11010" max="11010" width="52.6640625" style="58" customWidth="1"/>
    <col min="11011" max="11011" width="40.5546875" style="58" bestFit="1" customWidth="1"/>
    <col min="11012" max="11012" width="4.5546875" style="58" bestFit="1" customWidth="1"/>
    <col min="11013" max="11013" width="5.88671875" style="58" bestFit="1" customWidth="1"/>
    <col min="11014" max="11014" width="9" style="58" bestFit="1" customWidth="1"/>
    <col min="11015" max="11015" width="9" style="58" customWidth="1"/>
    <col min="11016" max="11016" width="56" style="58" customWidth="1"/>
    <col min="11017" max="11017" width="58" style="58" customWidth="1"/>
    <col min="11018" max="11018" width="43.6640625" style="58" customWidth="1"/>
    <col min="11019" max="11019" width="52" style="58" customWidth="1"/>
    <col min="11020" max="11264" width="9.109375" style="58"/>
    <col min="11265" max="11265" width="4.6640625" style="58" bestFit="1" customWidth="1"/>
    <col min="11266" max="11266" width="52.6640625" style="58" customWidth="1"/>
    <col min="11267" max="11267" width="40.5546875" style="58" bestFit="1" customWidth="1"/>
    <col min="11268" max="11268" width="4.5546875" style="58" bestFit="1" customWidth="1"/>
    <col min="11269" max="11269" width="5.88671875" style="58" bestFit="1" customWidth="1"/>
    <col min="11270" max="11270" width="9" style="58" bestFit="1" customWidth="1"/>
    <col min="11271" max="11271" width="9" style="58" customWidth="1"/>
    <col min="11272" max="11272" width="56" style="58" customWidth="1"/>
    <col min="11273" max="11273" width="58" style="58" customWidth="1"/>
    <col min="11274" max="11274" width="43.6640625" style="58" customWidth="1"/>
    <col min="11275" max="11275" width="52" style="58" customWidth="1"/>
    <col min="11276" max="11520" width="9.109375" style="58"/>
    <col min="11521" max="11521" width="4.6640625" style="58" bestFit="1" customWidth="1"/>
    <col min="11522" max="11522" width="52.6640625" style="58" customWidth="1"/>
    <col min="11523" max="11523" width="40.5546875" style="58" bestFit="1" customWidth="1"/>
    <col min="11524" max="11524" width="4.5546875" style="58" bestFit="1" customWidth="1"/>
    <col min="11525" max="11525" width="5.88671875" style="58" bestFit="1" customWidth="1"/>
    <col min="11526" max="11526" width="9" style="58" bestFit="1" customWidth="1"/>
    <col min="11527" max="11527" width="9" style="58" customWidth="1"/>
    <col min="11528" max="11528" width="56" style="58" customWidth="1"/>
    <col min="11529" max="11529" width="58" style="58" customWidth="1"/>
    <col min="11530" max="11530" width="43.6640625" style="58" customWidth="1"/>
    <col min="11531" max="11531" width="52" style="58" customWidth="1"/>
    <col min="11532" max="11776" width="9.109375" style="58"/>
    <col min="11777" max="11777" width="4.6640625" style="58" bestFit="1" customWidth="1"/>
    <col min="11778" max="11778" width="52.6640625" style="58" customWidth="1"/>
    <col min="11779" max="11779" width="40.5546875" style="58" bestFit="1" customWidth="1"/>
    <col min="11780" max="11780" width="4.5546875" style="58" bestFit="1" customWidth="1"/>
    <col min="11781" max="11781" width="5.88671875" style="58" bestFit="1" customWidth="1"/>
    <col min="11782" max="11782" width="9" style="58" bestFit="1" customWidth="1"/>
    <col min="11783" max="11783" width="9" style="58" customWidth="1"/>
    <col min="11784" max="11784" width="56" style="58" customWidth="1"/>
    <col min="11785" max="11785" width="58" style="58" customWidth="1"/>
    <col min="11786" max="11786" width="43.6640625" style="58" customWidth="1"/>
    <col min="11787" max="11787" width="52" style="58" customWidth="1"/>
    <col min="11788" max="12032" width="9.109375" style="58"/>
    <col min="12033" max="12033" width="4.6640625" style="58" bestFit="1" customWidth="1"/>
    <col min="12034" max="12034" width="52.6640625" style="58" customWidth="1"/>
    <col min="12035" max="12035" width="40.5546875" style="58" bestFit="1" customWidth="1"/>
    <col min="12036" max="12036" width="4.5546875" style="58" bestFit="1" customWidth="1"/>
    <col min="12037" max="12037" width="5.88671875" style="58" bestFit="1" customWidth="1"/>
    <col min="12038" max="12038" width="9" style="58" bestFit="1" customWidth="1"/>
    <col min="12039" max="12039" width="9" style="58" customWidth="1"/>
    <col min="12040" max="12040" width="56" style="58" customWidth="1"/>
    <col min="12041" max="12041" width="58" style="58" customWidth="1"/>
    <col min="12042" max="12042" width="43.6640625" style="58" customWidth="1"/>
    <col min="12043" max="12043" width="52" style="58" customWidth="1"/>
    <col min="12044" max="12288" width="9.109375" style="58"/>
    <col min="12289" max="12289" width="4.6640625" style="58" bestFit="1" customWidth="1"/>
    <col min="12290" max="12290" width="52.6640625" style="58" customWidth="1"/>
    <col min="12291" max="12291" width="40.5546875" style="58" bestFit="1" customWidth="1"/>
    <col min="12292" max="12292" width="4.5546875" style="58" bestFit="1" customWidth="1"/>
    <col min="12293" max="12293" width="5.88671875" style="58" bestFit="1" customWidth="1"/>
    <col min="12294" max="12294" width="9" style="58" bestFit="1" customWidth="1"/>
    <col min="12295" max="12295" width="9" style="58" customWidth="1"/>
    <col min="12296" max="12296" width="56" style="58" customWidth="1"/>
    <col min="12297" max="12297" width="58" style="58" customWidth="1"/>
    <col min="12298" max="12298" width="43.6640625" style="58" customWidth="1"/>
    <col min="12299" max="12299" width="52" style="58" customWidth="1"/>
    <col min="12300" max="12544" width="9.109375" style="58"/>
    <col min="12545" max="12545" width="4.6640625" style="58" bestFit="1" customWidth="1"/>
    <col min="12546" max="12546" width="52.6640625" style="58" customWidth="1"/>
    <col min="12547" max="12547" width="40.5546875" style="58" bestFit="1" customWidth="1"/>
    <col min="12548" max="12548" width="4.5546875" style="58" bestFit="1" customWidth="1"/>
    <col min="12549" max="12549" width="5.88671875" style="58" bestFit="1" customWidth="1"/>
    <col min="12550" max="12550" width="9" style="58" bestFit="1" customWidth="1"/>
    <col min="12551" max="12551" width="9" style="58" customWidth="1"/>
    <col min="12552" max="12552" width="56" style="58" customWidth="1"/>
    <col min="12553" max="12553" width="58" style="58" customWidth="1"/>
    <col min="12554" max="12554" width="43.6640625" style="58" customWidth="1"/>
    <col min="12555" max="12555" width="52" style="58" customWidth="1"/>
    <col min="12556" max="12800" width="9.109375" style="58"/>
    <col min="12801" max="12801" width="4.6640625" style="58" bestFit="1" customWidth="1"/>
    <col min="12802" max="12802" width="52.6640625" style="58" customWidth="1"/>
    <col min="12803" max="12803" width="40.5546875" style="58" bestFit="1" customWidth="1"/>
    <col min="12804" max="12804" width="4.5546875" style="58" bestFit="1" customWidth="1"/>
    <col min="12805" max="12805" width="5.88671875" style="58" bestFit="1" customWidth="1"/>
    <col min="12806" max="12806" width="9" style="58" bestFit="1" customWidth="1"/>
    <col min="12807" max="12807" width="9" style="58" customWidth="1"/>
    <col min="12808" max="12808" width="56" style="58" customWidth="1"/>
    <col min="12809" max="12809" width="58" style="58" customWidth="1"/>
    <col min="12810" max="12810" width="43.6640625" style="58" customWidth="1"/>
    <col min="12811" max="12811" width="52" style="58" customWidth="1"/>
    <col min="12812" max="13056" width="9.109375" style="58"/>
    <col min="13057" max="13057" width="4.6640625" style="58" bestFit="1" customWidth="1"/>
    <col min="13058" max="13058" width="52.6640625" style="58" customWidth="1"/>
    <col min="13059" max="13059" width="40.5546875" style="58" bestFit="1" customWidth="1"/>
    <col min="13060" max="13060" width="4.5546875" style="58" bestFit="1" customWidth="1"/>
    <col min="13061" max="13061" width="5.88671875" style="58" bestFit="1" customWidth="1"/>
    <col min="13062" max="13062" width="9" style="58" bestFit="1" customWidth="1"/>
    <col min="13063" max="13063" width="9" style="58" customWidth="1"/>
    <col min="13064" max="13064" width="56" style="58" customWidth="1"/>
    <col min="13065" max="13065" width="58" style="58" customWidth="1"/>
    <col min="13066" max="13066" width="43.6640625" style="58" customWidth="1"/>
    <col min="13067" max="13067" width="52" style="58" customWidth="1"/>
    <col min="13068" max="13312" width="9.109375" style="58"/>
    <col min="13313" max="13313" width="4.6640625" style="58" bestFit="1" customWidth="1"/>
    <col min="13314" max="13314" width="52.6640625" style="58" customWidth="1"/>
    <col min="13315" max="13315" width="40.5546875" style="58" bestFit="1" customWidth="1"/>
    <col min="13316" max="13316" width="4.5546875" style="58" bestFit="1" customWidth="1"/>
    <col min="13317" max="13317" width="5.88671875" style="58" bestFit="1" customWidth="1"/>
    <col min="13318" max="13318" width="9" style="58" bestFit="1" customWidth="1"/>
    <col min="13319" max="13319" width="9" style="58" customWidth="1"/>
    <col min="13320" max="13320" width="56" style="58" customWidth="1"/>
    <col min="13321" max="13321" width="58" style="58" customWidth="1"/>
    <col min="13322" max="13322" width="43.6640625" style="58" customWidth="1"/>
    <col min="13323" max="13323" width="52" style="58" customWidth="1"/>
    <col min="13324" max="13568" width="9.109375" style="58"/>
    <col min="13569" max="13569" width="4.6640625" style="58" bestFit="1" customWidth="1"/>
    <col min="13570" max="13570" width="52.6640625" style="58" customWidth="1"/>
    <col min="13571" max="13571" width="40.5546875" style="58" bestFit="1" customWidth="1"/>
    <col min="13572" max="13572" width="4.5546875" style="58" bestFit="1" customWidth="1"/>
    <col min="13573" max="13573" width="5.88671875" style="58" bestFit="1" customWidth="1"/>
    <col min="13574" max="13574" width="9" style="58" bestFit="1" customWidth="1"/>
    <col min="13575" max="13575" width="9" style="58" customWidth="1"/>
    <col min="13576" max="13576" width="56" style="58" customWidth="1"/>
    <col min="13577" max="13577" width="58" style="58" customWidth="1"/>
    <col min="13578" max="13578" width="43.6640625" style="58" customWidth="1"/>
    <col min="13579" max="13579" width="52" style="58" customWidth="1"/>
    <col min="13580" max="13824" width="9.109375" style="58"/>
    <col min="13825" max="13825" width="4.6640625" style="58" bestFit="1" customWidth="1"/>
    <col min="13826" max="13826" width="52.6640625" style="58" customWidth="1"/>
    <col min="13827" max="13827" width="40.5546875" style="58" bestFit="1" customWidth="1"/>
    <col min="13828" max="13828" width="4.5546875" style="58" bestFit="1" customWidth="1"/>
    <col min="13829" max="13829" width="5.88671875" style="58" bestFit="1" customWidth="1"/>
    <col min="13830" max="13830" width="9" style="58" bestFit="1" customWidth="1"/>
    <col min="13831" max="13831" width="9" style="58" customWidth="1"/>
    <col min="13832" max="13832" width="56" style="58" customWidth="1"/>
    <col min="13833" max="13833" width="58" style="58" customWidth="1"/>
    <col min="13834" max="13834" width="43.6640625" style="58" customWidth="1"/>
    <col min="13835" max="13835" width="52" style="58" customWidth="1"/>
    <col min="13836" max="14080" width="9.109375" style="58"/>
    <col min="14081" max="14081" width="4.6640625" style="58" bestFit="1" customWidth="1"/>
    <col min="14082" max="14082" width="52.6640625" style="58" customWidth="1"/>
    <col min="14083" max="14083" width="40.5546875" style="58" bestFit="1" customWidth="1"/>
    <col min="14084" max="14084" width="4.5546875" style="58" bestFit="1" customWidth="1"/>
    <col min="14085" max="14085" width="5.88671875" style="58" bestFit="1" customWidth="1"/>
    <col min="14086" max="14086" width="9" style="58" bestFit="1" customWidth="1"/>
    <col min="14087" max="14087" width="9" style="58" customWidth="1"/>
    <col min="14088" max="14088" width="56" style="58" customWidth="1"/>
    <col min="14089" max="14089" width="58" style="58" customWidth="1"/>
    <col min="14090" max="14090" width="43.6640625" style="58" customWidth="1"/>
    <col min="14091" max="14091" width="52" style="58" customWidth="1"/>
    <col min="14092" max="14336" width="9.109375" style="58"/>
    <col min="14337" max="14337" width="4.6640625" style="58" bestFit="1" customWidth="1"/>
    <col min="14338" max="14338" width="52.6640625" style="58" customWidth="1"/>
    <col min="14339" max="14339" width="40.5546875" style="58" bestFit="1" customWidth="1"/>
    <col min="14340" max="14340" width="4.5546875" style="58" bestFit="1" customWidth="1"/>
    <col min="14341" max="14341" width="5.88671875" style="58" bestFit="1" customWidth="1"/>
    <col min="14342" max="14342" width="9" style="58" bestFit="1" customWidth="1"/>
    <col min="14343" max="14343" width="9" style="58" customWidth="1"/>
    <col min="14344" max="14344" width="56" style="58" customWidth="1"/>
    <col min="14345" max="14345" width="58" style="58" customWidth="1"/>
    <col min="14346" max="14346" width="43.6640625" style="58" customWidth="1"/>
    <col min="14347" max="14347" width="52" style="58" customWidth="1"/>
    <col min="14348" max="14592" width="9.109375" style="58"/>
    <col min="14593" max="14593" width="4.6640625" style="58" bestFit="1" customWidth="1"/>
    <col min="14594" max="14594" width="52.6640625" style="58" customWidth="1"/>
    <col min="14595" max="14595" width="40.5546875" style="58" bestFit="1" customWidth="1"/>
    <col min="14596" max="14596" width="4.5546875" style="58" bestFit="1" customWidth="1"/>
    <col min="14597" max="14597" width="5.88671875" style="58" bestFit="1" customWidth="1"/>
    <col min="14598" max="14598" width="9" style="58" bestFit="1" customWidth="1"/>
    <col min="14599" max="14599" width="9" style="58" customWidth="1"/>
    <col min="14600" max="14600" width="56" style="58" customWidth="1"/>
    <col min="14601" max="14601" width="58" style="58" customWidth="1"/>
    <col min="14602" max="14602" width="43.6640625" style="58" customWidth="1"/>
    <col min="14603" max="14603" width="52" style="58" customWidth="1"/>
    <col min="14604" max="14848" width="9.109375" style="58"/>
    <col min="14849" max="14849" width="4.6640625" style="58" bestFit="1" customWidth="1"/>
    <col min="14850" max="14850" width="52.6640625" style="58" customWidth="1"/>
    <col min="14851" max="14851" width="40.5546875" style="58" bestFit="1" customWidth="1"/>
    <col min="14852" max="14852" width="4.5546875" style="58" bestFit="1" customWidth="1"/>
    <col min="14853" max="14853" width="5.88671875" style="58" bestFit="1" customWidth="1"/>
    <col min="14854" max="14854" width="9" style="58" bestFit="1" customWidth="1"/>
    <col min="14855" max="14855" width="9" style="58" customWidth="1"/>
    <col min="14856" max="14856" width="56" style="58" customWidth="1"/>
    <col min="14857" max="14857" width="58" style="58" customWidth="1"/>
    <col min="14858" max="14858" width="43.6640625" style="58" customWidth="1"/>
    <col min="14859" max="14859" width="52" style="58" customWidth="1"/>
    <col min="14860" max="15104" width="9.109375" style="58"/>
    <col min="15105" max="15105" width="4.6640625" style="58" bestFit="1" customWidth="1"/>
    <col min="15106" max="15106" width="52.6640625" style="58" customWidth="1"/>
    <col min="15107" max="15107" width="40.5546875" style="58" bestFit="1" customWidth="1"/>
    <col min="15108" max="15108" width="4.5546875" style="58" bestFit="1" customWidth="1"/>
    <col min="15109" max="15109" width="5.88671875" style="58" bestFit="1" customWidth="1"/>
    <col min="15110" max="15110" width="9" style="58" bestFit="1" customWidth="1"/>
    <col min="15111" max="15111" width="9" style="58" customWidth="1"/>
    <col min="15112" max="15112" width="56" style="58" customWidth="1"/>
    <col min="15113" max="15113" width="58" style="58" customWidth="1"/>
    <col min="15114" max="15114" width="43.6640625" style="58" customWidth="1"/>
    <col min="15115" max="15115" width="52" style="58" customWidth="1"/>
    <col min="15116" max="15360" width="9.109375" style="58"/>
    <col min="15361" max="15361" width="4.6640625" style="58" bestFit="1" customWidth="1"/>
    <col min="15362" max="15362" width="52.6640625" style="58" customWidth="1"/>
    <col min="15363" max="15363" width="40.5546875" style="58" bestFit="1" customWidth="1"/>
    <col min="15364" max="15364" width="4.5546875" style="58" bestFit="1" customWidth="1"/>
    <col min="15365" max="15365" width="5.88671875" style="58" bestFit="1" customWidth="1"/>
    <col min="15366" max="15366" width="9" style="58" bestFit="1" customWidth="1"/>
    <col min="15367" max="15367" width="9" style="58" customWidth="1"/>
    <col min="15368" max="15368" width="56" style="58" customWidth="1"/>
    <col min="15369" max="15369" width="58" style="58" customWidth="1"/>
    <col min="15370" max="15370" width="43.6640625" style="58" customWidth="1"/>
    <col min="15371" max="15371" width="52" style="58" customWidth="1"/>
    <col min="15372" max="15616" width="9.109375" style="58"/>
    <col min="15617" max="15617" width="4.6640625" style="58" bestFit="1" customWidth="1"/>
    <col min="15618" max="15618" width="52.6640625" style="58" customWidth="1"/>
    <col min="15619" max="15619" width="40.5546875" style="58" bestFit="1" customWidth="1"/>
    <col min="15620" max="15620" width="4.5546875" style="58" bestFit="1" customWidth="1"/>
    <col min="15621" max="15621" width="5.88671875" style="58" bestFit="1" customWidth="1"/>
    <col min="15622" max="15622" width="9" style="58" bestFit="1" customWidth="1"/>
    <col min="15623" max="15623" width="9" style="58" customWidth="1"/>
    <col min="15624" max="15624" width="56" style="58" customWidth="1"/>
    <col min="15625" max="15625" width="58" style="58" customWidth="1"/>
    <col min="15626" max="15626" width="43.6640625" style="58" customWidth="1"/>
    <col min="15627" max="15627" width="52" style="58" customWidth="1"/>
    <col min="15628" max="15872" width="9.109375" style="58"/>
    <col min="15873" max="15873" width="4.6640625" style="58" bestFit="1" customWidth="1"/>
    <col min="15874" max="15874" width="52.6640625" style="58" customWidth="1"/>
    <col min="15875" max="15875" width="40.5546875" style="58" bestFit="1" customWidth="1"/>
    <col min="15876" max="15876" width="4.5546875" style="58" bestFit="1" customWidth="1"/>
    <col min="15877" max="15877" width="5.88671875" style="58" bestFit="1" customWidth="1"/>
    <col min="15878" max="15878" width="9" style="58" bestFit="1" customWidth="1"/>
    <col min="15879" max="15879" width="9" style="58" customWidth="1"/>
    <col min="15880" max="15880" width="56" style="58" customWidth="1"/>
    <col min="15881" max="15881" width="58" style="58" customWidth="1"/>
    <col min="15882" max="15882" width="43.6640625" style="58" customWidth="1"/>
    <col min="15883" max="15883" width="52" style="58" customWidth="1"/>
    <col min="15884" max="16128" width="9.109375" style="58"/>
    <col min="16129" max="16129" width="4.6640625" style="58" bestFit="1" customWidth="1"/>
    <col min="16130" max="16130" width="52.6640625" style="58" customWidth="1"/>
    <col min="16131" max="16131" width="40.5546875" style="58" bestFit="1" customWidth="1"/>
    <col min="16132" max="16132" width="4.5546875" style="58" bestFit="1" customWidth="1"/>
    <col min="16133" max="16133" width="5.88671875" style="58" bestFit="1" customWidth="1"/>
    <col min="16134" max="16134" width="9" style="58" bestFit="1" customWidth="1"/>
    <col min="16135" max="16135" width="9" style="58" customWidth="1"/>
    <col min="16136" max="16136" width="56" style="58" customWidth="1"/>
    <col min="16137" max="16137" width="58" style="58" customWidth="1"/>
    <col min="16138" max="16138" width="43.6640625" style="58" customWidth="1"/>
    <col min="16139" max="16139" width="52" style="58" customWidth="1"/>
    <col min="16140" max="16384" width="9.109375" style="58"/>
  </cols>
  <sheetData>
    <row r="1" spans="1:10" ht="28.5" customHeight="1" x14ac:dyDescent="0.5">
      <c r="A1" s="1" t="s">
        <v>0</v>
      </c>
      <c r="B1" s="2"/>
      <c r="C1" s="2"/>
      <c r="D1" s="2"/>
      <c r="E1" s="2"/>
      <c r="F1" s="3"/>
      <c r="G1" s="2"/>
      <c r="H1" s="4"/>
      <c r="I1" s="5"/>
    </row>
    <row r="2" spans="1:10" x14ac:dyDescent="0.3">
      <c r="A2" s="59"/>
      <c r="B2" s="60"/>
      <c r="C2" s="60"/>
      <c r="D2" s="60"/>
      <c r="E2" s="60"/>
      <c r="G2" s="60"/>
      <c r="H2" s="62"/>
      <c r="I2" s="60"/>
    </row>
    <row r="3" spans="1:10" x14ac:dyDescent="0.3">
      <c r="A3" s="59"/>
      <c r="B3" s="60"/>
      <c r="C3" s="60"/>
      <c r="D3" s="60"/>
      <c r="E3" s="60"/>
      <c r="G3" s="60"/>
      <c r="H3" s="62"/>
      <c r="I3" s="60"/>
    </row>
    <row r="4" spans="1:10" ht="24.6" x14ac:dyDescent="0.4">
      <c r="A4" s="460" t="s">
        <v>25</v>
      </c>
      <c r="B4" s="461"/>
      <c r="C4" s="462"/>
      <c r="D4" s="6"/>
      <c r="E4" s="7"/>
      <c r="F4" s="8"/>
      <c r="G4" s="9"/>
      <c r="H4" s="10"/>
      <c r="I4" s="9"/>
      <c r="J4" s="10"/>
    </row>
    <row r="5" spans="1:10" x14ac:dyDescent="0.3">
      <c r="A5" s="11"/>
      <c r="B5" s="12"/>
      <c r="C5" s="12"/>
      <c r="D5" s="13"/>
      <c r="E5" s="13"/>
      <c r="F5" s="14"/>
      <c r="G5" s="13"/>
      <c r="H5" s="15"/>
      <c r="I5" s="16" t="s">
        <v>1</v>
      </c>
      <c r="J5" s="17"/>
    </row>
    <row r="6" spans="1:10" ht="21" x14ac:dyDescent="0.4">
      <c r="A6" s="450" t="s">
        <v>163</v>
      </c>
      <c r="B6" s="451"/>
      <c r="C6" s="452"/>
      <c r="D6" s="13"/>
      <c r="E6" s="17"/>
      <c r="F6" s="18"/>
      <c r="G6" s="19"/>
      <c r="H6" s="20"/>
      <c r="I6" s="21">
        <f>SUM(F9:F24)</f>
        <v>1363</v>
      </c>
      <c r="J6" s="22"/>
    </row>
    <row r="7" spans="1:10" x14ac:dyDescent="0.3">
      <c r="A7" s="13"/>
      <c r="B7" s="23" t="s">
        <v>3</v>
      </c>
      <c r="C7" s="23" t="s">
        <v>4</v>
      </c>
      <c r="D7" s="24" t="s">
        <v>5</v>
      </c>
      <c r="E7" s="25" t="s">
        <v>6</v>
      </c>
      <c r="F7" s="26" t="s">
        <v>7</v>
      </c>
      <c r="G7" s="24" t="s">
        <v>8</v>
      </c>
      <c r="H7" s="27" t="s">
        <v>9</v>
      </c>
      <c r="I7" s="23" t="s">
        <v>10</v>
      </c>
      <c r="J7" s="28" t="s">
        <v>11</v>
      </c>
    </row>
    <row r="8" spans="1:10" x14ac:dyDescent="0.3">
      <c r="A8" s="13"/>
      <c r="B8" s="29" t="s">
        <v>12</v>
      </c>
      <c r="C8" s="30"/>
      <c r="D8" s="30"/>
      <c r="E8" s="31"/>
      <c r="F8" s="32"/>
      <c r="G8" s="30"/>
      <c r="H8" s="31"/>
      <c r="I8" s="33"/>
      <c r="J8" s="34"/>
    </row>
    <row r="9" spans="1:10" x14ac:dyDescent="0.3">
      <c r="A9" s="13"/>
      <c r="B9" s="44" t="s">
        <v>39</v>
      </c>
      <c r="C9" s="39" t="s">
        <v>40</v>
      </c>
      <c r="D9" s="37" t="s">
        <v>41</v>
      </c>
      <c r="E9" s="37">
        <v>3</v>
      </c>
      <c r="F9" s="38">
        <v>55</v>
      </c>
      <c r="G9" s="14"/>
      <c r="H9" s="39" t="s">
        <v>144</v>
      </c>
      <c r="I9" s="40" t="s">
        <v>145</v>
      </c>
      <c r="J9" s="41"/>
    </row>
    <row r="10" spans="1:10" x14ac:dyDescent="0.25">
      <c r="A10" s="42"/>
      <c r="B10" s="35" t="s">
        <v>52</v>
      </c>
      <c r="C10" s="36" t="s">
        <v>13</v>
      </c>
      <c r="D10" s="37" t="s">
        <v>41</v>
      </c>
      <c r="E10" s="37">
        <v>3</v>
      </c>
      <c r="F10" s="38">
        <v>111</v>
      </c>
      <c r="G10" s="14"/>
      <c r="H10" s="39" t="s">
        <v>146</v>
      </c>
      <c r="I10" s="43" t="s">
        <v>150</v>
      </c>
      <c r="J10" s="38"/>
    </row>
    <row r="11" spans="1:10" x14ac:dyDescent="0.25">
      <c r="A11" s="42"/>
      <c r="B11" s="44" t="s">
        <v>53</v>
      </c>
      <c r="C11" s="39" t="s">
        <v>19</v>
      </c>
      <c r="D11" s="37" t="s">
        <v>41</v>
      </c>
      <c r="E11" s="37">
        <v>3</v>
      </c>
      <c r="F11" s="38">
        <v>110</v>
      </c>
      <c r="G11" s="14"/>
      <c r="H11" s="39" t="s">
        <v>146</v>
      </c>
      <c r="I11" s="43" t="s">
        <v>151</v>
      </c>
      <c r="J11" s="38"/>
    </row>
    <row r="12" spans="1:10" x14ac:dyDescent="0.25">
      <c r="A12" s="42"/>
      <c r="B12" s="44" t="s">
        <v>54</v>
      </c>
      <c r="C12" s="44" t="s">
        <v>13</v>
      </c>
      <c r="D12" s="37" t="s">
        <v>41</v>
      </c>
      <c r="E12" s="37">
        <v>3</v>
      </c>
      <c r="F12" s="38">
        <v>177</v>
      </c>
      <c r="G12" s="14"/>
      <c r="H12" s="39" t="s">
        <v>148</v>
      </c>
      <c r="I12" s="43" t="s">
        <v>149</v>
      </c>
      <c r="J12" s="38"/>
    </row>
    <row r="13" spans="1:10" x14ac:dyDescent="0.25">
      <c r="A13" s="42"/>
      <c r="B13" s="44"/>
      <c r="C13" s="44"/>
      <c r="D13" s="37"/>
      <c r="E13" s="37"/>
      <c r="F13" s="38"/>
      <c r="G13" s="14"/>
      <c r="H13" s="39"/>
      <c r="I13" s="43"/>
      <c r="J13" s="38"/>
    </row>
    <row r="14" spans="1:10" ht="45.6" x14ac:dyDescent="0.25">
      <c r="A14" s="42"/>
      <c r="B14" s="143" t="s">
        <v>168</v>
      </c>
      <c r="C14" s="45" t="s">
        <v>108</v>
      </c>
      <c r="D14" s="113" t="s">
        <v>41</v>
      </c>
      <c r="E14" s="113">
        <v>2</v>
      </c>
      <c r="F14" s="38"/>
      <c r="G14" s="14"/>
      <c r="H14" s="144" t="s">
        <v>165</v>
      </c>
      <c r="I14" s="43"/>
      <c r="J14" s="145" t="s">
        <v>166</v>
      </c>
    </row>
    <row r="15" spans="1:10" x14ac:dyDescent="0.25">
      <c r="A15" s="42"/>
      <c r="B15" s="44"/>
      <c r="C15" s="44"/>
      <c r="D15" s="37"/>
      <c r="E15" s="37"/>
      <c r="F15" s="38"/>
      <c r="G15" s="14"/>
      <c r="H15" s="39"/>
      <c r="I15" s="43"/>
      <c r="J15" s="38"/>
    </row>
    <row r="16" spans="1:10" x14ac:dyDescent="0.25">
      <c r="A16" s="42"/>
      <c r="B16" s="44"/>
      <c r="C16" s="44"/>
      <c r="D16" s="37"/>
      <c r="E16" s="37"/>
      <c r="F16" s="38"/>
      <c r="G16" s="14"/>
      <c r="H16" s="39"/>
      <c r="I16" s="43"/>
      <c r="J16" s="38"/>
    </row>
    <row r="17" spans="1:10" x14ac:dyDescent="0.3">
      <c r="A17" s="11"/>
      <c r="B17" s="12"/>
      <c r="C17" s="12"/>
      <c r="D17" s="13"/>
      <c r="E17" s="13"/>
      <c r="F17" s="14"/>
      <c r="G17" s="13"/>
      <c r="H17" s="15"/>
      <c r="I17" s="16" t="s">
        <v>1</v>
      </c>
      <c r="J17" s="17"/>
    </row>
    <row r="18" spans="1:10" ht="21" x14ac:dyDescent="0.4">
      <c r="A18" s="450" t="s">
        <v>164</v>
      </c>
      <c r="B18" s="451"/>
      <c r="C18" s="452"/>
      <c r="D18" s="13"/>
      <c r="E18" s="17"/>
      <c r="F18" s="18"/>
      <c r="G18" s="19"/>
      <c r="H18" s="20"/>
      <c r="I18" s="21">
        <f>SUM(F21:F34)</f>
        <v>1638</v>
      </c>
      <c r="J18" s="22"/>
    </row>
    <row r="19" spans="1:10" x14ac:dyDescent="0.3">
      <c r="A19" s="13"/>
      <c r="B19" s="23" t="s">
        <v>3</v>
      </c>
      <c r="C19" s="23" t="s">
        <v>4</v>
      </c>
      <c r="D19" s="24" t="s">
        <v>5</v>
      </c>
      <c r="E19" s="25" t="s">
        <v>6</v>
      </c>
      <c r="F19" s="26" t="s">
        <v>7</v>
      </c>
      <c r="G19" s="24" t="s">
        <v>8</v>
      </c>
      <c r="H19" s="27" t="s">
        <v>9</v>
      </c>
      <c r="I19" s="23" t="s">
        <v>10</v>
      </c>
      <c r="J19" s="28" t="s">
        <v>11</v>
      </c>
    </row>
    <row r="20" spans="1:10" x14ac:dyDescent="0.3">
      <c r="A20" s="13"/>
      <c r="B20" s="29" t="s">
        <v>12</v>
      </c>
      <c r="C20" s="30"/>
      <c r="D20" s="30"/>
      <c r="E20" s="31"/>
      <c r="F20" s="32"/>
      <c r="G20" s="30"/>
      <c r="H20" s="31"/>
      <c r="I20" s="33"/>
      <c r="J20" s="34"/>
    </row>
    <row r="21" spans="1:10" ht="100.8" customHeight="1" x14ac:dyDescent="0.25">
      <c r="A21" s="42"/>
      <c r="B21" s="131" t="s">
        <v>169</v>
      </c>
      <c r="C21" s="45" t="s">
        <v>108</v>
      </c>
      <c r="D21" s="113" t="s">
        <v>41</v>
      </c>
      <c r="E21" s="113">
        <v>2</v>
      </c>
      <c r="F21" s="14">
        <f>654+256</f>
        <v>910</v>
      </c>
      <c r="G21" s="37"/>
      <c r="H21" s="19" t="s">
        <v>165</v>
      </c>
      <c r="I21" s="143" t="s">
        <v>167</v>
      </c>
      <c r="J21" s="145" t="s">
        <v>166</v>
      </c>
    </row>
    <row r="22" spans="1:10" x14ac:dyDescent="0.25">
      <c r="A22" s="42"/>
      <c r="B22" s="44"/>
      <c r="C22" s="44"/>
      <c r="D22" s="37"/>
      <c r="E22" s="37"/>
      <c r="F22" s="38"/>
      <c r="G22" s="14"/>
      <c r="H22" s="39"/>
      <c r="I22" s="43"/>
      <c r="J22" s="38"/>
    </row>
    <row r="23" spans="1:10" x14ac:dyDescent="0.25">
      <c r="A23" s="42"/>
      <c r="B23" s="44"/>
      <c r="C23" s="44"/>
      <c r="D23" s="37"/>
      <c r="E23" s="37"/>
      <c r="F23" s="38"/>
      <c r="G23" s="14"/>
      <c r="H23" s="39"/>
      <c r="I23" s="43"/>
      <c r="J23" s="38"/>
    </row>
    <row r="24" spans="1:10" x14ac:dyDescent="0.3">
      <c r="A24" s="11"/>
      <c r="B24" s="12"/>
      <c r="C24" s="12"/>
      <c r="D24" s="13"/>
      <c r="E24" s="13"/>
      <c r="F24" s="14"/>
      <c r="G24" s="13"/>
      <c r="H24" s="47" t="s">
        <v>15</v>
      </c>
      <c r="I24" s="17"/>
      <c r="J24" s="17"/>
    </row>
    <row r="25" spans="1:10" s="63" customFormat="1" ht="21" x14ac:dyDescent="0.4">
      <c r="A25" s="459" t="s">
        <v>140</v>
      </c>
      <c r="B25" s="459"/>
      <c r="C25" s="459"/>
      <c r="D25" s="13"/>
      <c r="E25" s="17"/>
      <c r="F25" s="18"/>
      <c r="G25" s="19"/>
      <c r="H25" s="48">
        <f>SUM(F28:F35)</f>
        <v>728</v>
      </c>
      <c r="I25" s="14"/>
      <c r="J25" s="28"/>
    </row>
    <row r="26" spans="1:10" x14ac:dyDescent="0.3">
      <c r="A26" s="13"/>
      <c r="B26" s="23" t="s">
        <v>3</v>
      </c>
      <c r="C26" s="23" t="s">
        <v>4</v>
      </c>
      <c r="D26" s="24" t="s">
        <v>5</v>
      </c>
      <c r="E26" s="25" t="s">
        <v>6</v>
      </c>
      <c r="F26" s="26" t="s">
        <v>7</v>
      </c>
      <c r="G26" s="24" t="s">
        <v>8</v>
      </c>
      <c r="H26" s="27" t="s">
        <v>9</v>
      </c>
      <c r="I26" s="23" t="s">
        <v>10</v>
      </c>
      <c r="J26" s="28"/>
    </row>
    <row r="27" spans="1:10" x14ac:dyDescent="0.3">
      <c r="A27" s="13"/>
      <c r="B27" s="29" t="s">
        <v>12</v>
      </c>
      <c r="C27" s="30"/>
      <c r="D27" s="30"/>
      <c r="E27" s="31"/>
      <c r="F27" s="32"/>
      <c r="G27" s="49"/>
      <c r="H27" s="50"/>
      <c r="I27" s="33"/>
      <c r="J27" s="34"/>
    </row>
    <row r="28" spans="1:10" x14ac:dyDescent="0.25">
      <c r="A28" s="42"/>
      <c r="B28" s="109" t="s">
        <v>35</v>
      </c>
      <c r="C28" s="109" t="s">
        <v>36</v>
      </c>
      <c r="D28" s="42" t="s">
        <v>16</v>
      </c>
      <c r="E28" s="42">
        <v>2</v>
      </c>
      <c r="F28" s="26">
        <v>120</v>
      </c>
      <c r="G28" s="26"/>
      <c r="H28" s="39" t="s">
        <v>186</v>
      </c>
      <c r="I28" s="53" t="s">
        <v>142</v>
      </c>
      <c r="J28" s="38"/>
    </row>
    <row r="29" spans="1:10" x14ac:dyDescent="0.25">
      <c r="A29" s="42"/>
      <c r="B29" s="44" t="s">
        <v>42</v>
      </c>
      <c r="C29" s="44" t="s">
        <v>43</v>
      </c>
      <c r="D29" s="42" t="s">
        <v>16</v>
      </c>
      <c r="E29" s="42">
        <v>2</v>
      </c>
      <c r="F29" s="26">
        <v>61</v>
      </c>
      <c r="G29" s="26"/>
      <c r="H29" s="39" t="s">
        <v>188</v>
      </c>
      <c r="I29" s="53" t="s">
        <v>142</v>
      </c>
      <c r="J29" s="38"/>
    </row>
    <row r="30" spans="1:10" x14ac:dyDescent="0.25">
      <c r="A30" s="42"/>
      <c r="B30" s="44" t="s">
        <v>44</v>
      </c>
      <c r="C30" s="44" t="s">
        <v>45</v>
      </c>
      <c r="D30" s="42" t="s">
        <v>16</v>
      </c>
      <c r="E30" s="42">
        <v>2</v>
      </c>
      <c r="F30" s="26">
        <v>252</v>
      </c>
      <c r="G30" s="26"/>
      <c r="H30" s="39" t="s">
        <v>187</v>
      </c>
      <c r="I30" s="53" t="s">
        <v>142</v>
      </c>
      <c r="J30" s="38"/>
    </row>
    <row r="31" spans="1:10" x14ac:dyDescent="0.25">
      <c r="A31" s="42"/>
      <c r="B31" s="39" t="s">
        <v>46</v>
      </c>
      <c r="C31" s="39" t="s">
        <v>47</v>
      </c>
      <c r="D31" s="37" t="s">
        <v>16</v>
      </c>
      <c r="E31" s="37">
        <v>2</v>
      </c>
      <c r="F31" s="26">
        <v>161</v>
      </c>
      <c r="G31" s="26"/>
      <c r="H31" s="39" t="s">
        <v>189</v>
      </c>
      <c r="I31" s="53" t="s">
        <v>142</v>
      </c>
      <c r="J31" s="38"/>
    </row>
    <row r="32" spans="1:10" x14ac:dyDescent="0.25">
      <c r="A32" s="42"/>
      <c r="B32" s="44" t="s">
        <v>48</v>
      </c>
      <c r="C32" s="44" t="s">
        <v>49</v>
      </c>
      <c r="D32" s="42" t="s">
        <v>16</v>
      </c>
      <c r="E32" s="42">
        <v>2</v>
      </c>
      <c r="F32" s="26">
        <f>80+54</f>
        <v>134</v>
      </c>
      <c r="G32" s="26"/>
      <c r="H32" s="39" t="s">
        <v>190</v>
      </c>
      <c r="I32" s="53" t="s">
        <v>142</v>
      </c>
      <c r="J32" s="38"/>
    </row>
    <row r="33" spans="1:10" x14ac:dyDescent="0.25">
      <c r="A33" s="42"/>
      <c r="B33" s="44"/>
      <c r="C33" s="44"/>
      <c r="D33" s="42"/>
      <c r="E33" s="42"/>
      <c r="F33" s="26"/>
      <c r="G33" s="26"/>
      <c r="H33" s="39"/>
      <c r="I33" s="53"/>
      <c r="J33" s="38"/>
    </row>
    <row r="34" spans="1:10" x14ac:dyDescent="0.25">
      <c r="A34" s="42"/>
      <c r="B34" s="44"/>
      <c r="C34" s="44"/>
      <c r="D34" s="42"/>
      <c r="E34" s="42"/>
      <c r="F34" s="26"/>
      <c r="G34" s="26"/>
      <c r="H34" s="39"/>
      <c r="I34" s="53"/>
      <c r="J34" s="38"/>
    </row>
    <row r="35" spans="1:10" x14ac:dyDescent="0.25">
      <c r="A35" s="42"/>
      <c r="B35" s="44"/>
      <c r="C35" s="44"/>
      <c r="D35" s="37"/>
      <c r="E35" s="37"/>
      <c r="F35" s="38"/>
      <c r="G35" s="26"/>
      <c r="H35" s="54"/>
      <c r="I35" s="53"/>
      <c r="J35" s="38"/>
    </row>
    <row r="36" spans="1:10" s="63" customFormat="1" ht="21" x14ac:dyDescent="0.4">
      <c r="A36" s="459" t="s">
        <v>141</v>
      </c>
      <c r="B36" s="459"/>
      <c r="C36" s="459"/>
      <c r="D36" s="13"/>
      <c r="E36" s="17"/>
      <c r="F36" s="18"/>
      <c r="G36" s="19"/>
      <c r="H36" s="48">
        <f>SUM(F39:F43)</f>
        <v>614</v>
      </c>
      <c r="I36" s="14"/>
      <c r="J36" s="28"/>
    </row>
    <row r="37" spans="1:10" x14ac:dyDescent="0.3">
      <c r="A37" s="13"/>
      <c r="B37" s="23" t="s">
        <v>3</v>
      </c>
      <c r="C37" s="23" t="s">
        <v>4</v>
      </c>
      <c r="D37" s="24" t="s">
        <v>5</v>
      </c>
      <c r="E37" s="25" t="s">
        <v>6</v>
      </c>
      <c r="F37" s="26" t="s">
        <v>7</v>
      </c>
      <c r="G37" s="24" t="s">
        <v>8</v>
      </c>
      <c r="H37" s="27" t="s">
        <v>9</v>
      </c>
      <c r="I37" s="23" t="s">
        <v>10</v>
      </c>
      <c r="J37" s="28"/>
    </row>
    <row r="38" spans="1:10" x14ac:dyDescent="0.3">
      <c r="A38" s="13"/>
      <c r="B38" s="29" t="s">
        <v>12</v>
      </c>
      <c r="C38" s="30"/>
      <c r="D38" s="30"/>
      <c r="E38" s="31"/>
      <c r="F38" s="32"/>
      <c r="G38" s="49"/>
      <c r="H38" s="50"/>
      <c r="I38" s="33"/>
      <c r="J38" s="34"/>
    </row>
    <row r="39" spans="1:10" ht="30" x14ac:dyDescent="0.25">
      <c r="A39" s="42"/>
      <c r="B39" s="110" t="s">
        <v>37</v>
      </c>
      <c r="C39" s="45" t="s">
        <v>38</v>
      </c>
      <c r="D39" s="42" t="s">
        <v>16</v>
      </c>
      <c r="E39" s="42">
        <v>2</v>
      </c>
      <c r="F39" s="26">
        <v>405</v>
      </c>
      <c r="G39" s="26"/>
      <c r="H39" s="46" t="s">
        <v>191</v>
      </c>
      <c r="I39" s="53" t="s">
        <v>142</v>
      </c>
      <c r="J39" s="38"/>
    </row>
    <row r="40" spans="1:10" x14ac:dyDescent="0.25">
      <c r="A40" s="42"/>
      <c r="B40" s="44" t="s">
        <v>50</v>
      </c>
      <c r="C40" s="44" t="s">
        <v>51</v>
      </c>
      <c r="D40" s="42" t="s">
        <v>16</v>
      </c>
      <c r="E40" s="42">
        <v>2</v>
      </c>
      <c r="F40" s="26">
        <v>209</v>
      </c>
      <c r="G40" s="26"/>
      <c r="H40" s="39" t="s">
        <v>192</v>
      </c>
      <c r="I40" s="53" t="s">
        <v>142</v>
      </c>
      <c r="J40" s="38"/>
    </row>
    <row r="41" spans="1:10" x14ac:dyDescent="0.25">
      <c r="A41" s="42"/>
      <c r="B41" s="51"/>
      <c r="C41" s="52"/>
      <c r="D41" s="37"/>
      <c r="E41" s="37"/>
      <c r="F41" s="26"/>
      <c r="G41" s="26"/>
      <c r="H41" s="39"/>
      <c r="I41" s="53"/>
      <c r="J41" s="38"/>
    </row>
    <row r="42" spans="1:10" x14ac:dyDescent="0.25">
      <c r="A42" s="42"/>
      <c r="B42" s="39"/>
      <c r="C42" s="39"/>
      <c r="D42" s="37"/>
      <c r="E42" s="37"/>
      <c r="F42" s="38"/>
      <c r="G42" s="26"/>
      <c r="H42" s="39"/>
      <c r="I42" s="53"/>
      <c r="J42" s="38"/>
    </row>
    <row r="43" spans="1:10" x14ac:dyDescent="0.25">
      <c r="A43" s="42"/>
      <c r="B43" s="44"/>
      <c r="C43" s="44"/>
      <c r="D43" s="37"/>
      <c r="E43" s="37"/>
      <c r="F43" s="38"/>
      <c r="G43" s="26"/>
      <c r="H43" s="54"/>
      <c r="I43" s="53"/>
      <c r="J43" s="38"/>
    </row>
    <row r="44" spans="1:10" ht="24.6" x14ac:dyDescent="0.4">
      <c r="A44" s="460" t="s">
        <v>26</v>
      </c>
      <c r="B44" s="461"/>
      <c r="C44" s="462"/>
      <c r="D44" s="6"/>
      <c r="E44" s="7"/>
      <c r="F44" s="8"/>
      <c r="G44" s="9"/>
      <c r="H44" s="10"/>
      <c r="I44" s="9"/>
      <c r="J44" s="10"/>
    </row>
    <row r="45" spans="1:10" x14ac:dyDescent="0.3">
      <c r="A45" s="11"/>
      <c r="B45" s="12"/>
      <c r="C45" s="12"/>
      <c r="D45" s="13"/>
      <c r="E45" s="13"/>
      <c r="F45" s="14"/>
      <c r="G45" s="13"/>
      <c r="H45" s="15"/>
      <c r="I45" s="16" t="s">
        <v>1</v>
      </c>
      <c r="J45" s="17"/>
    </row>
    <row r="46" spans="1:10" ht="21" x14ac:dyDescent="0.4">
      <c r="A46" s="450" t="s">
        <v>2</v>
      </c>
      <c r="B46" s="451"/>
      <c r="C46" s="452"/>
      <c r="D46" s="13"/>
      <c r="E46" s="17"/>
      <c r="F46" s="18"/>
      <c r="G46" s="19"/>
      <c r="H46" s="20"/>
      <c r="I46" s="21">
        <f>SUM(F49:F50)</f>
        <v>0</v>
      </c>
      <c r="J46" s="22"/>
    </row>
    <row r="47" spans="1:10" x14ac:dyDescent="0.3">
      <c r="A47" s="13"/>
      <c r="B47" s="23" t="s">
        <v>3</v>
      </c>
      <c r="C47" s="23" t="s">
        <v>4</v>
      </c>
      <c r="D47" s="24" t="s">
        <v>5</v>
      </c>
      <c r="E47" s="25" t="s">
        <v>6</v>
      </c>
      <c r="F47" s="26" t="s">
        <v>7</v>
      </c>
      <c r="G47" s="24" t="s">
        <v>8</v>
      </c>
      <c r="H47" s="27" t="s">
        <v>9</v>
      </c>
      <c r="I47" s="23" t="s">
        <v>10</v>
      </c>
      <c r="J47" s="28" t="s">
        <v>11</v>
      </c>
    </row>
    <row r="48" spans="1:10" x14ac:dyDescent="0.3">
      <c r="A48" s="13"/>
      <c r="B48" s="29" t="s">
        <v>12</v>
      </c>
      <c r="C48" s="30"/>
      <c r="D48" s="30"/>
      <c r="E48" s="31"/>
      <c r="F48" s="32"/>
      <c r="G48" s="30"/>
      <c r="H48" s="31"/>
      <c r="I48" s="33"/>
      <c r="J48" s="34"/>
    </row>
    <row r="49" spans="1:10" x14ac:dyDescent="0.3">
      <c r="A49" s="13"/>
      <c r="B49" s="35" t="s">
        <v>178</v>
      </c>
      <c r="C49" s="36"/>
      <c r="D49" s="37"/>
      <c r="E49" s="37"/>
      <c r="F49" s="38"/>
      <c r="G49" s="14"/>
      <c r="H49" s="39"/>
      <c r="I49" s="40"/>
      <c r="J49" s="41"/>
    </row>
    <row r="50" spans="1:10" x14ac:dyDescent="0.25">
      <c r="A50" s="42"/>
      <c r="B50" s="55"/>
      <c r="C50" s="108"/>
      <c r="D50" s="66"/>
      <c r="E50" s="66"/>
      <c r="F50" s="56"/>
      <c r="G50" s="67"/>
      <c r="H50" s="108"/>
      <c r="I50" s="43"/>
      <c r="J50" s="38"/>
    </row>
    <row r="51" spans="1:10" x14ac:dyDescent="0.25">
      <c r="A51" s="37"/>
      <c r="B51" s="45"/>
      <c r="C51" s="45"/>
      <c r="D51" s="37"/>
      <c r="E51" s="37"/>
      <c r="F51" s="14"/>
      <c r="G51" s="37"/>
      <c r="H51" s="19"/>
      <c r="I51" s="46"/>
      <c r="J51" s="18"/>
    </row>
    <row r="52" spans="1:10" x14ac:dyDescent="0.3">
      <c r="A52" s="11"/>
      <c r="B52" s="12"/>
      <c r="C52" s="12"/>
      <c r="D52" s="13"/>
      <c r="E52" s="13"/>
      <c r="F52" s="14"/>
      <c r="G52" s="13"/>
      <c r="H52" s="47" t="s">
        <v>15</v>
      </c>
      <c r="I52" s="17"/>
      <c r="J52" s="17"/>
    </row>
    <row r="53" spans="1:10" s="63" customFormat="1" ht="21" x14ac:dyDescent="0.4">
      <c r="A53" s="459" t="s">
        <v>184</v>
      </c>
      <c r="B53" s="459"/>
      <c r="C53" s="459"/>
      <c r="D53" s="13"/>
      <c r="E53" s="17"/>
      <c r="F53" s="18"/>
      <c r="G53" s="19"/>
      <c r="H53" s="48">
        <f>SUM(F56:F59)</f>
        <v>343</v>
      </c>
      <c r="I53" s="14"/>
      <c r="J53" s="28"/>
    </row>
    <row r="54" spans="1:10" x14ac:dyDescent="0.3">
      <c r="A54" s="13"/>
      <c r="B54" s="23" t="s">
        <v>3</v>
      </c>
      <c r="C54" s="23" t="s">
        <v>4</v>
      </c>
      <c r="D54" s="24" t="s">
        <v>5</v>
      </c>
      <c r="E54" s="25" t="s">
        <v>6</v>
      </c>
      <c r="F54" s="26" t="s">
        <v>7</v>
      </c>
      <c r="G54" s="24" t="s">
        <v>8</v>
      </c>
      <c r="H54" s="27" t="s">
        <v>9</v>
      </c>
      <c r="I54" s="23" t="s">
        <v>10</v>
      </c>
      <c r="J54" s="28"/>
    </row>
    <row r="55" spans="1:10" x14ac:dyDescent="0.3">
      <c r="A55" s="13"/>
      <c r="B55" s="29" t="s">
        <v>12</v>
      </c>
      <c r="C55" s="30"/>
      <c r="D55" s="30"/>
      <c r="E55" s="31"/>
      <c r="F55" s="32"/>
      <c r="G55" s="49"/>
      <c r="H55" s="50"/>
      <c r="I55" s="33"/>
      <c r="J55" s="34"/>
    </row>
    <row r="56" spans="1:10" x14ac:dyDescent="0.3">
      <c r="A56" s="68"/>
      <c r="B56" s="44" t="s">
        <v>55</v>
      </c>
      <c r="C56" s="44" t="s">
        <v>56</v>
      </c>
      <c r="D56" s="42" t="s">
        <v>16</v>
      </c>
      <c r="E56" s="42">
        <v>2</v>
      </c>
      <c r="F56" s="26">
        <v>251</v>
      </c>
      <c r="G56" s="68"/>
      <c r="H56" s="43" t="s">
        <v>193</v>
      </c>
      <c r="I56" s="58" t="s">
        <v>142</v>
      </c>
      <c r="J56" s="87"/>
    </row>
    <row r="57" spans="1:10" x14ac:dyDescent="0.3">
      <c r="A57" s="68"/>
      <c r="B57" s="44" t="s">
        <v>57</v>
      </c>
      <c r="C57" s="44" t="s">
        <v>58</v>
      </c>
      <c r="D57" s="37" t="s">
        <v>16</v>
      </c>
      <c r="E57" s="37">
        <v>2</v>
      </c>
      <c r="F57" s="26">
        <v>92</v>
      </c>
      <c r="G57" s="68"/>
      <c r="H57" s="43" t="s">
        <v>194</v>
      </c>
      <c r="I57" s="40" t="s">
        <v>142</v>
      </c>
      <c r="J57" s="87"/>
    </row>
    <row r="58" spans="1:10" x14ac:dyDescent="0.3">
      <c r="A58" s="68"/>
      <c r="B58" s="111"/>
      <c r="C58" s="89"/>
      <c r="D58" s="41"/>
      <c r="E58" s="85"/>
      <c r="F58" s="26"/>
      <c r="G58" s="68"/>
      <c r="H58" s="78"/>
      <c r="I58" s="40"/>
      <c r="J58" s="87"/>
    </row>
    <row r="59" spans="1:10" x14ac:dyDescent="0.25">
      <c r="A59" s="42"/>
      <c r="B59" s="51"/>
      <c r="C59" s="52"/>
      <c r="D59" s="37"/>
      <c r="E59" s="37"/>
      <c r="F59" s="26"/>
      <c r="G59" s="26"/>
      <c r="H59" s="39"/>
      <c r="I59" s="53"/>
      <c r="J59" s="38"/>
    </row>
    <row r="60" spans="1:10" x14ac:dyDescent="0.25">
      <c r="A60" s="42"/>
      <c r="B60" s="44"/>
      <c r="C60" s="44"/>
      <c r="D60" s="37"/>
      <c r="E60" s="37"/>
      <c r="F60" s="38"/>
      <c r="G60" s="26"/>
      <c r="H60" s="54"/>
      <c r="I60" s="53"/>
      <c r="J60" s="38"/>
    </row>
    <row r="61" spans="1:10" ht="24.6" x14ac:dyDescent="0.4">
      <c r="A61" s="460" t="s">
        <v>27</v>
      </c>
      <c r="B61" s="461"/>
      <c r="C61" s="462"/>
      <c r="D61" s="6"/>
      <c r="E61" s="7"/>
      <c r="F61" s="8"/>
      <c r="G61" s="9"/>
      <c r="H61" s="10"/>
      <c r="I61" s="9"/>
      <c r="J61" s="10"/>
    </row>
    <row r="62" spans="1:10" x14ac:dyDescent="0.3">
      <c r="A62" s="11"/>
      <c r="B62" s="12"/>
      <c r="C62" s="12"/>
      <c r="D62" s="13"/>
      <c r="E62" s="13"/>
      <c r="F62" s="14"/>
      <c r="G62" s="13"/>
      <c r="H62" s="15"/>
      <c r="I62" s="16" t="s">
        <v>1</v>
      </c>
      <c r="J62" s="17"/>
    </row>
    <row r="63" spans="1:10" ht="21" x14ac:dyDescent="0.4">
      <c r="A63" s="450" t="s">
        <v>2</v>
      </c>
      <c r="B63" s="451"/>
      <c r="C63" s="452"/>
      <c r="D63" s="13"/>
      <c r="E63" s="17"/>
      <c r="F63" s="18"/>
      <c r="G63" s="19"/>
      <c r="H63" s="20"/>
      <c r="I63" s="21">
        <f>SUM(F66:F72)</f>
        <v>852</v>
      </c>
      <c r="J63" s="22"/>
    </row>
    <row r="64" spans="1:10" x14ac:dyDescent="0.3">
      <c r="A64" s="13"/>
      <c r="B64" s="23" t="s">
        <v>3</v>
      </c>
      <c r="C64" s="23" t="s">
        <v>4</v>
      </c>
      <c r="D64" s="24" t="s">
        <v>5</v>
      </c>
      <c r="E64" s="25" t="s">
        <v>6</v>
      </c>
      <c r="F64" s="26" t="s">
        <v>7</v>
      </c>
      <c r="G64" s="24" t="s">
        <v>8</v>
      </c>
      <c r="H64" s="27" t="s">
        <v>9</v>
      </c>
      <c r="I64" s="23" t="s">
        <v>10</v>
      </c>
      <c r="J64" s="28" t="s">
        <v>11</v>
      </c>
    </row>
    <row r="65" spans="1:10" x14ac:dyDescent="0.3">
      <c r="A65" s="13"/>
      <c r="B65" s="29" t="s">
        <v>12</v>
      </c>
      <c r="C65" s="30"/>
      <c r="D65" s="30"/>
      <c r="E65" s="31"/>
      <c r="F65" s="32"/>
      <c r="G65" s="30"/>
      <c r="H65" s="31"/>
      <c r="I65" s="33"/>
      <c r="J65" s="34"/>
    </row>
    <row r="66" spans="1:10" ht="25.2" customHeight="1" x14ac:dyDescent="0.3">
      <c r="A66" s="13"/>
      <c r="B66" s="44" t="s">
        <v>61</v>
      </c>
      <c r="C66" s="44" t="s">
        <v>40</v>
      </c>
      <c r="D66" s="42" t="s">
        <v>41</v>
      </c>
      <c r="E66" s="42">
        <v>3</v>
      </c>
      <c r="F66" s="38">
        <v>75</v>
      </c>
      <c r="G66" s="14"/>
      <c r="H66" s="39" t="s">
        <v>152</v>
      </c>
      <c r="I66" s="44" t="s">
        <v>147</v>
      </c>
      <c r="J66" s="41"/>
    </row>
    <row r="67" spans="1:10" ht="31.2" customHeight="1" x14ac:dyDescent="0.25">
      <c r="A67" s="42"/>
      <c r="B67" s="45" t="s">
        <v>111</v>
      </c>
      <c r="C67" s="45" t="s">
        <v>112</v>
      </c>
      <c r="D67" s="113" t="s">
        <v>41</v>
      </c>
      <c r="E67" s="113">
        <v>2</v>
      </c>
      <c r="F67" s="14">
        <v>324</v>
      </c>
      <c r="G67" s="37"/>
      <c r="H67" s="19" t="s">
        <v>134</v>
      </c>
      <c r="I67" s="453" t="s">
        <v>170</v>
      </c>
      <c r="J67" s="145" t="s">
        <v>166</v>
      </c>
    </row>
    <row r="68" spans="1:10" ht="38.4" customHeight="1" x14ac:dyDescent="0.25">
      <c r="A68" s="42"/>
      <c r="B68" s="45" t="s">
        <v>113</v>
      </c>
      <c r="C68" s="45" t="s">
        <v>45</v>
      </c>
      <c r="D68" s="113" t="s">
        <v>41</v>
      </c>
      <c r="E68" s="113">
        <v>2</v>
      </c>
      <c r="F68" s="14">
        <v>222</v>
      </c>
      <c r="G68" s="37"/>
      <c r="H68" s="19" t="s">
        <v>114</v>
      </c>
      <c r="I68" s="454"/>
      <c r="J68" s="145" t="s">
        <v>166</v>
      </c>
    </row>
    <row r="69" spans="1:10" ht="35.4" customHeight="1" x14ac:dyDescent="0.25">
      <c r="A69" s="42"/>
      <c r="B69" s="45" t="s">
        <v>115</v>
      </c>
      <c r="C69" s="45" t="s">
        <v>51</v>
      </c>
      <c r="D69" s="113" t="s">
        <v>41</v>
      </c>
      <c r="E69" s="113">
        <v>2</v>
      </c>
      <c r="F69" s="14">
        <v>231</v>
      </c>
      <c r="G69" s="37"/>
      <c r="H69" s="19" t="s">
        <v>135</v>
      </c>
      <c r="I69" s="455"/>
      <c r="J69" s="145" t="s">
        <v>166</v>
      </c>
    </row>
    <row r="70" spans="1:10" x14ac:dyDescent="0.25">
      <c r="A70" s="42"/>
      <c r="B70" s="55"/>
      <c r="C70" s="108"/>
      <c r="D70" s="66"/>
      <c r="E70" s="66"/>
      <c r="F70" s="56"/>
      <c r="G70" s="67"/>
      <c r="H70" s="108"/>
      <c r="I70" s="43"/>
      <c r="J70" s="38"/>
    </row>
    <row r="71" spans="1:10" x14ac:dyDescent="0.25">
      <c r="A71" s="42"/>
      <c r="B71" s="44"/>
      <c r="C71" s="39"/>
      <c r="D71" s="37"/>
      <c r="E71" s="37"/>
      <c r="F71" s="38"/>
      <c r="G71" s="14"/>
      <c r="H71" s="39"/>
      <c r="I71" s="43"/>
      <c r="J71" s="38"/>
    </row>
    <row r="72" spans="1:10" x14ac:dyDescent="0.3">
      <c r="A72" s="11"/>
      <c r="B72" s="12"/>
      <c r="C72" s="12"/>
      <c r="D72" s="13"/>
      <c r="E72" s="13"/>
      <c r="F72" s="14"/>
      <c r="G72" s="13"/>
      <c r="H72" s="47" t="s">
        <v>15</v>
      </c>
      <c r="I72" s="17"/>
      <c r="J72" s="17"/>
    </row>
    <row r="73" spans="1:10" s="63" customFormat="1" ht="21" x14ac:dyDescent="0.4">
      <c r="A73" s="459" t="s">
        <v>143</v>
      </c>
      <c r="B73" s="459"/>
      <c r="C73" s="459"/>
      <c r="D73" s="13"/>
      <c r="E73" s="17"/>
      <c r="F73" s="18"/>
      <c r="G73" s="19"/>
      <c r="H73" s="48">
        <f>SUM(F76:F80)</f>
        <v>598</v>
      </c>
      <c r="I73" s="14"/>
      <c r="J73" s="28"/>
    </row>
    <row r="74" spans="1:10" x14ac:dyDescent="0.3">
      <c r="A74" s="13"/>
      <c r="B74" s="23" t="s">
        <v>3</v>
      </c>
      <c r="C74" s="23" t="s">
        <v>4</v>
      </c>
      <c r="D74" s="24" t="s">
        <v>5</v>
      </c>
      <c r="E74" s="25" t="s">
        <v>6</v>
      </c>
      <c r="F74" s="26" t="s">
        <v>7</v>
      </c>
      <c r="G74" s="24" t="s">
        <v>8</v>
      </c>
      <c r="H74" s="27" t="s">
        <v>9</v>
      </c>
      <c r="I74" s="23" t="s">
        <v>10</v>
      </c>
      <c r="J74" s="28"/>
    </row>
    <row r="75" spans="1:10" x14ac:dyDescent="0.3">
      <c r="A75" s="13"/>
      <c r="B75" s="29" t="s">
        <v>12</v>
      </c>
      <c r="C75" s="30"/>
      <c r="D75" s="30"/>
      <c r="E75" s="31"/>
      <c r="F75" s="32"/>
      <c r="G75" s="49"/>
      <c r="H75" s="50"/>
      <c r="I75" s="33"/>
      <c r="J75" s="34"/>
    </row>
    <row r="76" spans="1:10" x14ac:dyDescent="0.25">
      <c r="A76" s="42"/>
      <c r="B76" s="45" t="s">
        <v>59</v>
      </c>
      <c r="C76" s="45" t="s">
        <v>60</v>
      </c>
      <c r="D76" s="113" t="s">
        <v>16</v>
      </c>
      <c r="E76" s="113">
        <v>2</v>
      </c>
      <c r="F76" s="26">
        <f>127+131</f>
        <v>258</v>
      </c>
      <c r="G76" s="26"/>
      <c r="H76" s="39" t="s">
        <v>195</v>
      </c>
      <c r="I76" s="53" t="s">
        <v>142</v>
      </c>
      <c r="J76" s="38"/>
    </row>
    <row r="77" spans="1:10" x14ac:dyDescent="0.25">
      <c r="A77" s="42"/>
      <c r="B77" s="44" t="s">
        <v>62</v>
      </c>
      <c r="C77" s="44" t="s">
        <v>19</v>
      </c>
      <c r="D77" s="42" t="s">
        <v>16</v>
      </c>
      <c r="E77" s="42">
        <v>2</v>
      </c>
      <c r="F77" s="26">
        <v>97</v>
      </c>
      <c r="G77" s="26"/>
      <c r="H77" s="39" t="s">
        <v>196</v>
      </c>
      <c r="I77" s="53" t="s">
        <v>142</v>
      </c>
      <c r="J77" s="38"/>
    </row>
    <row r="78" spans="1:10" x14ac:dyDescent="0.25">
      <c r="A78" s="42"/>
      <c r="B78" s="44" t="s">
        <v>63</v>
      </c>
      <c r="C78" s="44" t="s">
        <v>13</v>
      </c>
      <c r="D78" s="42" t="s">
        <v>16</v>
      </c>
      <c r="E78" s="42">
        <v>2</v>
      </c>
      <c r="F78" s="26">
        <v>107</v>
      </c>
      <c r="G78" s="26"/>
      <c r="H78" s="39" t="s">
        <v>197</v>
      </c>
      <c r="I78" s="53" t="s">
        <v>142</v>
      </c>
      <c r="J78" s="38"/>
    </row>
    <row r="79" spans="1:10" x14ac:dyDescent="0.25">
      <c r="A79" s="42"/>
      <c r="B79" s="44" t="s">
        <v>64</v>
      </c>
      <c r="C79" s="44" t="s">
        <v>13</v>
      </c>
      <c r="D79" s="42" t="s">
        <v>16</v>
      </c>
      <c r="E79" s="42">
        <v>2</v>
      </c>
      <c r="F79" s="26">
        <v>136</v>
      </c>
      <c r="G79" s="26"/>
      <c r="H79" s="39" t="s">
        <v>198</v>
      </c>
      <c r="I79" s="53" t="s">
        <v>142</v>
      </c>
      <c r="J79" s="38"/>
    </row>
    <row r="80" spans="1:10" x14ac:dyDescent="0.25">
      <c r="A80" s="42"/>
      <c r="B80" s="51"/>
      <c r="C80" s="52"/>
      <c r="D80" s="37"/>
      <c r="E80" s="37"/>
      <c r="F80" s="26"/>
      <c r="G80" s="26"/>
      <c r="H80" s="39"/>
      <c r="I80" s="53"/>
      <c r="J80" s="38"/>
    </row>
    <row r="81" spans="1:10" x14ac:dyDescent="0.25">
      <c r="A81" s="42"/>
      <c r="B81" s="44"/>
      <c r="C81" s="44"/>
      <c r="D81" s="37"/>
      <c r="E81" s="37"/>
      <c r="F81" s="38"/>
      <c r="G81" s="26"/>
      <c r="H81" s="54"/>
      <c r="I81" s="53"/>
      <c r="J81" s="38"/>
    </row>
    <row r="82" spans="1:10" ht="24.6" x14ac:dyDescent="0.4">
      <c r="A82" s="460" t="s">
        <v>28</v>
      </c>
      <c r="B82" s="461"/>
      <c r="C82" s="462"/>
      <c r="D82" s="6"/>
      <c r="E82" s="7"/>
      <c r="F82" s="8"/>
      <c r="G82" s="9"/>
      <c r="H82" s="10"/>
      <c r="I82" s="9"/>
      <c r="J82" s="10"/>
    </row>
    <row r="83" spans="1:10" x14ac:dyDescent="0.3">
      <c r="A83" s="11"/>
      <c r="B83" s="12"/>
      <c r="C83" s="12"/>
      <c r="D83" s="13"/>
      <c r="E83" s="13"/>
      <c r="F83" s="14"/>
      <c r="G83" s="13"/>
      <c r="H83" s="15"/>
      <c r="I83" s="16" t="s">
        <v>1</v>
      </c>
      <c r="J83" s="17"/>
    </row>
    <row r="84" spans="1:10" ht="21" x14ac:dyDescent="0.4">
      <c r="A84" s="450" t="s">
        <v>2</v>
      </c>
      <c r="B84" s="451"/>
      <c r="C84" s="452"/>
      <c r="D84" s="13"/>
      <c r="E84" s="17"/>
      <c r="F84" s="18"/>
      <c r="G84" s="19"/>
      <c r="H84" s="20"/>
      <c r="I84" s="21">
        <f>SUM(F87:F88)</f>
        <v>0</v>
      </c>
      <c r="J84" s="22"/>
    </row>
    <row r="85" spans="1:10" x14ac:dyDescent="0.3">
      <c r="A85" s="13"/>
      <c r="B85" s="23" t="s">
        <v>3</v>
      </c>
      <c r="C85" s="23" t="s">
        <v>4</v>
      </c>
      <c r="D85" s="24" t="s">
        <v>5</v>
      </c>
      <c r="E85" s="25" t="s">
        <v>6</v>
      </c>
      <c r="F85" s="26" t="s">
        <v>7</v>
      </c>
      <c r="G85" s="24" t="s">
        <v>8</v>
      </c>
      <c r="H85" s="27" t="s">
        <v>9</v>
      </c>
      <c r="I85" s="23" t="s">
        <v>10</v>
      </c>
      <c r="J85" s="28" t="s">
        <v>11</v>
      </c>
    </row>
    <row r="86" spans="1:10" x14ac:dyDescent="0.3">
      <c r="A86" s="13"/>
      <c r="B86" s="29" t="s">
        <v>12</v>
      </c>
      <c r="C86" s="30"/>
      <c r="D86" s="30"/>
      <c r="E86" s="31"/>
      <c r="F86" s="32"/>
      <c r="G86" s="30"/>
      <c r="H86" s="31"/>
      <c r="I86" s="33"/>
      <c r="J86" s="34"/>
    </row>
    <row r="87" spans="1:10" x14ac:dyDescent="0.3">
      <c r="A87" s="13"/>
      <c r="B87" s="35" t="s">
        <v>178</v>
      </c>
      <c r="C87" s="36"/>
      <c r="D87" s="37"/>
      <c r="E87" s="37"/>
      <c r="F87" s="38"/>
      <c r="G87" s="14"/>
      <c r="H87" s="39"/>
      <c r="I87" s="40"/>
      <c r="J87" s="41"/>
    </row>
    <row r="88" spans="1:10" x14ac:dyDescent="0.25">
      <c r="A88" s="42"/>
      <c r="B88" s="55"/>
      <c r="C88" s="108"/>
      <c r="D88" s="66"/>
      <c r="E88" s="66"/>
      <c r="F88" s="56"/>
      <c r="G88" s="67"/>
      <c r="H88" s="108"/>
      <c r="I88" s="43"/>
      <c r="J88" s="38"/>
    </row>
    <row r="89" spans="1:10" x14ac:dyDescent="0.25">
      <c r="A89" s="42"/>
      <c r="B89" s="55"/>
      <c r="C89" s="108"/>
      <c r="D89" s="66"/>
      <c r="E89" s="66"/>
      <c r="F89" s="56"/>
      <c r="G89" s="67"/>
      <c r="H89" s="108"/>
      <c r="I89" s="43"/>
      <c r="J89" s="38"/>
    </row>
    <row r="90" spans="1:10" x14ac:dyDescent="0.3">
      <c r="A90" s="11"/>
      <c r="B90" s="12"/>
      <c r="C90" s="12"/>
      <c r="D90" s="13"/>
      <c r="E90" s="13"/>
      <c r="F90" s="14"/>
      <c r="G90" s="13"/>
      <c r="H90" s="47" t="s">
        <v>15</v>
      </c>
      <c r="I90" s="17"/>
      <c r="J90" s="17"/>
    </row>
    <row r="91" spans="1:10" s="63" customFormat="1" ht="21" x14ac:dyDescent="0.4">
      <c r="A91" s="459" t="s">
        <v>143</v>
      </c>
      <c r="B91" s="459"/>
      <c r="C91" s="459"/>
      <c r="D91" s="13"/>
      <c r="E91" s="17"/>
      <c r="F91" s="18"/>
      <c r="G91" s="19"/>
      <c r="H91" s="48">
        <f>SUM(F94:F99)</f>
        <v>780</v>
      </c>
      <c r="I91" s="14"/>
      <c r="J91" s="28"/>
    </row>
    <row r="92" spans="1:10" x14ac:dyDescent="0.3">
      <c r="A92" s="13"/>
      <c r="B92" s="23" t="s">
        <v>3</v>
      </c>
      <c r="C92" s="23" t="s">
        <v>4</v>
      </c>
      <c r="D92" s="24" t="s">
        <v>5</v>
      </c>
      <c r="E92" s="25" t="s">
        <v>6</v>
      </c>
      <c r="F92" s="26" t="s">
        <v>7</v>
      </c>
      <c r="G92" s="24" t="s">
        <v>8</v>
      </c>
      <c r="H92" s="27" t="s">
        <v>9</v>
      </c>
      <c r="I92" s="23" t="s">
        <v>10</v>
      </c>
      <c r="J92" s="28"/>
    </row>
    <row r="93" spans="1:10" x14ac:dyDescent="0.3">
      <c r="A93" s="13"/>
      <c r="B93" s="29" t="s">
        <v>12</v>
      </c>
      <c r="C93" s="30"/>
      <c r="D93" s="30"/>
      <c r="E93" s="31"/>
      <c r="F93" s="32"/>
      <c r="G93" s="49"/>
      <c r="H93" s="50"/>
      <c r="I93" s="33"/>
      <c r="J93" s="34"/>
    </row>
    <row r="94" spans="1:10" x14ac:dyDescent="0.25">
      <c r="A94" s="42"/>
      <c r="B94" s="44" t="s">
        <v>65</v>
      </c>
      <c r="C94" s="44" t="s">
        <v>38</v>
      </c>
      <c r="D94" s="42" t="s">
        <v>16</v>
      </c>
      <c r="E94" s="42">
        <v>2</v>
      </c>
      <c r="F94" s="26">
        <v>320</v>
      </c>
      <c r="G94" s="26"/>
      <c r="H94" s="39" t="s">
        <v>199</v>
      </c>
      <c r="I94" s="53" t="s">
        <v>142</v>
      </c>
      <c r="J94" s="38"/>
    </row>
    <row r="95" spans="1:10" x14ac:dyDescent="0.25">
      <c r="A95" s="42"/>
      <c r="B95" s="44" t="s">
        <v>66</v>
      </c>
      <c r="C95" s="44" t="s">
        <v>56</v>
      </c>
      <c r="D95" s="42" t="s">
        <v>16</v>
      </c>
      <c r="E95" s="42">
        <v>2</v>
      </c>
      <c r="F95" s="26">
        <v>220</v>
      </c>
      <c r="G95" s="26"/>
      <c r="H95" s="39" t="s">
        <v>200</v>
      </c>
      <c r="I95" s="53" t="s">
        <v>142</v>
      </c>
      <c r="J95" s="38"/>
    </row>
    <row r="96" spans="1:10" x14ac:dyDescent="0.25">
      <c r="A96" s="42"/>
      <c r="B96" s="44" t="s">
        <v>67</v>
      </c>
      <c r="C96" s="44" t="s">
        <v>47</v>
      </c>
      <c r="D96" s="42" t="s">
        <v>16</v>
      </c>
      <c r="E96" s="42">
        <v>2</v>
      </c>
      <c r="F96" s="26">
        <v>189</v>
      </c>
      <c r="G96" s="26"/>
      <c r="H96" s="39" t="s">
        <v>201</v>
      </c>
      <c r="I96" s="53" t="s">
        <v>142</v>
      </c>
      <c r="J96" s="38"/>
    </row>
    <row r="97" spans="1:10" x14ac:dyDescent="0.25">
      <c r="A97" s="42"/>
      <c r="B97" s="44" t="s">
        <v>68</v>
      </c>
      <c r="C97" s="44" t="s">
        <v>58</v>
      </c>
      <c r="D97" s="42" t="s">
        <v>41</v>
      </c>
      <c r="E97" s="42">
        <v>2</v>
      </c>
      <c r="F97" s="26">
        <v>51</v>
      </c>
      <c r="G97" s="26"/>
      <c r="H97" s="39" t="s">
        <v>181</v>
      </c>
      <c r="I97" s="53" t="s">
        <v>142</v>
      </c>
      <c r="J97" s="38"/>
    </row>
    <row r="98" spans="1:10" x14ac:dyDescent="0.25">
      <c r="A98" s="42"/>
      <c r="B98" s="51"/>
      <c r="C98" s="52"/>
      <c r="D98" s="37"/>
      <c r="E98" s="37"/>
      <c r="F98" s="26"/>
      <c r="G98" s="26"/>
      <c r="H98" s="39"/>
      <c r="I98" s="53"/>
      <c r="J98" s="38"/>
    </row>
    <row r="99" spans="1:10" x14ac:dyDescent="0.25">
      <c r="A99" s="42"/>
      <c r="B99" s="39"/>
      <c r="C99" s="39"/>
      <c r="D99" s="37"/>
      <c r="E99" s="37"/>
      <c r="F99" s="38"/>
      <c r="G99" s="26"/>
      <c r="H99" s="39"/>
      <c r="I99" s="53"/>
      <c r="J99" s="38"/>
    </row>
    <row r="100" spans="1:10" ht="24.6" x14ac:dyDescent="0.4">
      <c r="A100" s="460" t="s">
        <v>29</v>
      </c>
      <c r="B100" s="461"/>
      <c r="C100" s="462"/>
      <c r="D100" s="6"/>
      <c r="E100" s="7"/>
      <c r="F100" s="8"/>
      <c r="G100" s="9"/>
      <c r="H100" s="10"/>
      <c r="I100" s="9"/>
      <c r="J100" s="10"/>
    </row>
    <row r="101" spans="1:10" x14ac:dyDescent="0.3">
      <c r="A101" s="11"/>
      <c r="B101" s="12"/>
      <c r="C101" s="12"/>
      <c r="D101" s="13"/>
      <c r="E101" s="13"/>
      <c r="F101" s="14"/>
      <c r="G101" s="13"/>
      <c r="H101" s="15"/>
      <c r="I101" s="16" t="s">
        <v>1</v>
      </c>
      <c r="J101" s="17"/>
    </row>
    <row r="102" spans="1:10" ht="21" x14ac:dyDescent="0.4">
      <c r="A102" s="450" t="s">
        <v>2</v>
      </c>
      <c r="B102" s="451"/>
      <c r="C102" s="452"/>
      <c r="D102" s="13"/>
      <c r="E102" s="17"/>
      <c r="F102" s="18"/>
      <c r="G102" s="19"/>
      <c r="H102" s="20"/>
      <c r="I102" s="21">
        <f>SUM(F105:F109)</f>
        <v>773</v>
      </c>
      <c r="J102" s="22"/>
    </row>
    <row r="103" spans="1:10" x14ac:dyDescent="0.3">
      <c r="A103" s="13"/>
      <c r="B103" s="23" t="s">
        <v>3</v>
      </c>
      <c r="C103" s="23" t="s">
        <v>4</v>
      </c>
      <c r="D103" s="24" t="s">
        <v>5</v>
      </c>
      <c r="E103" s="25" t="s">
        <v>6</v>
      </c>
      <c r="F103" s="26" t="s">
        <v>7</v>
      </c>
      <c r="G103" s="24" t="s">
        <v>8</v>
      </c>
      <c r="H103" s="27" t="s">
        <v>9</v>
      </c>
      <c r="I103" s="23" t="s">
        <v>10</v>
      </c>
      <c r="J103" s="28" t="s">
        <v>11</v>
      </c>
    </row>
    <row r="104" spans="1:10" x14ac:dyDescent="0.3">
      <c r="A104" s="13"/>
      <c r="B104" s="29" t="s">
        <v>12</v>
      </c>
      <c r="C104" s="30"/>
      <c r="D104" s="30"/>
      <c r="E104" s="31"/>
      <c r="F104" s="32"/>
      <c r="G104" s="30"/>
      <c r="H104" s="31"/>
      <c r="I104" s="33"/>
      <c r="J104" s="34"/>
    </row>
    <row r="105" spans="1:10" ht="66.599999999999994" customHeight="1" x14ac:dyDescent="0.3">
      <c r="A105" s="13"/>
      <c r="B105" s="54" t="s">
        <v>173</v>
      </c>
      <c r="C105" s="46" t="s">
        <v>69</v>
      </c>
      <c r="D105" s="37" t="s">
        <v>41</v>
      </c>
      <c r="E105" s="26">
        <v>3</v>
      </c>
      <c r="F105" s="38">
        <f>(300+128+50+41)</f>
        <v>519</v>
      </c>
      <c r="G105" s="14"/>
      <c r="H105" s="142" t="s">
        <v>153</v>
      </c>
      <c r="I105" s="46" t="s">
        <v>159</v>
      </c>
      <c r="J105" s="41"/>
    </row>
    <row r="106" spans="1:10" x14ac:dyDescent="0.25">
      <c r="A106" s="42"/>
      <c r="B106" s="44" t="s">
        <v>70</v>
      </c>
      <c r="C106" s="44" t="s">
        <v>19</v>
      </c>
      <c r="D106" s="42" t="s">
        <v>16</v>
      </c>
      <c r="E106" s="42">
        <v>2</v>
      </c>
      <c r="F106" s="38">
        <v>72</v>
      </c>
      <c r="G106" s="67"/>
      <c r="H106" s="39" t="s">
        <v>154</v>
      </c>
      <c r="I106" s="43" t="s">
        <v>75</v>
      </c>
      <c r="J106" s="38"/>
    </row>
    <row r="107" spans="1:10" x14ac:dyDescent="0.25">
      <c r="A107" s="42"/>
      <c r="B107" s="110" t="s">
        <v>71</v>
      </c>
      <c r="C107" s="54" t="s">
        <v>13</v>
      </c>
      <c r="D107" s="42" t="s">
        <v>16</v>
      </c>
      <c r="E107" s="42">
        <v>2</v>
      </c>
      <c r="F107" s="38">
        <v>94</v>
      </c>
      <c r="G107" s="67"/>
      <c r="H107" s="39" t="s">
        <v>155</v>
      </c>
      <c r="I107" s="43" t="s">
        <v>76</v>
      </c>
      <c r="J107" s="38"/>
    </row>
    <row r="108" spans="1:10" x14ac:dyDescent="0.25">
      <c r="A108" s="42"/>
      <c r="B108" s="44" t="s">
        <v>72</v>
      </c>
      <c r="C108" s="44" t="s">
        <v>58</v>
      </c>
      <c r="D108" s="42" t="s">
        <v>16</v>
      </c>
      <c r="E108" s="42">
        <v>2</v>
      </c>
      <c r="F108" s="38">
        <v>88</v>
      </c>
      <c r="G108" s="14"/>
      <c r="H108" s="39" t="s">
        <v>156</v>
      </c>
      <c r="I108" s="43" t="s">
        <v>74</v>
      </c>
      <c r="J108" s="38"/>
    </row>
    <row r="109" spans="1:10" x14ac:dyDescent="0.3">
      <c r="A109" s="11"/>
      <c r="B109" s="12"/>
      <c r="C109" s="12"/>
      <c r="D109" s="13"/>
      <c r="E109" s="13"/>
      <c r="F109" s="14"/>
      <c r="G109" s="13"/>
      <c r="H109" s="47" t="s">
        <v>15</v>
      </c>
      <c r="I109" s="17"/>
      <c r="J109" s="17"/>
    </row>
    <row r="110" spans="1:10" s="63" customFormat="1" ht="21" x14ac:dyDescent="0.4">
      <c r="A110" s="459" t="s">
        <v>143</v>
      </c>
      <c r="B110" s="459"/>
      <c r="C110" s="459"/>
      <c r="D110" s="13"/>
      <c r="E110" s="17"/>
      <c r="F110" s="18"/>
      <c r="G110" s="19"/>
      <c r="H110" s="48">
        <f>SUM(F113:F118)</f>
        <v>390</v>
      </c>
      <c r="I110" s="14"/>
      <c r="J110" s="28"/>
    </row>
    <row r="111" spans="1:10" x14ac:dyDescent="0.3">
      <c r="A111" s="13"/>
      <c r="B111" s="23" t="s">
        <v>3</v>
      </c>
      <c r="C111" s="23" t="s">
        <v>4</v>
      </c>
      <c r="D111" s="24" t="s">
        <v>5</v>
      </c>
      <c r="E111" s="25" t="s">
        <v>6</v>
      </c>
      <c r="F111" s="26" t="s">
        <v>7</v>
      </c>
      <c r="G111" s="24" t="s">
        <v>8</v>
      </c>
      <c r="H111" s="27" t="s">
        <v>9</v>
      </c>
      <c r="I111" s="23" t="s">
        <v>10</v>
      </c>
      <c r="J111" s="28"/>
    </row>
    <row r="112" spans="1:10" x14ac:dyDescent="0.3">
      <c r="A112" s="13"/>
      <c r="B112" s="29" t="s">
        <v>12</v>
      </c>
      <c r="C112" s="30"/>
      <c r="D112" s="30"/>
      <c r="E112" s="31"/>
      <c r="F112" s="32"/>
      <c r="G112" s="49"/>
      <c r="H112" s="50"/>
      <c r="I112" s="33"/>
      <c r="J112" s="34"/>
    </row>
    <row r="113" spans="1:10" x14ac:dyDescent="0.25">
      <c r="A113" s="42"/>
      <c r="B113" s="44" t="s">
        <v>73</v>
      </c>
      <c r="C113" s="44" t="s">
        <v>13</v>
      </c>
      <c r="D113" s="42" t="s">
        <v>16</v>
      </c>
      <c r="E113" s="42">
        <v>2</v>
      </c>
      <c r="F113" s="26">
        <v>136</v>
      </c>
      <c r="G113" s="26"/>
      <c r="H113" s="39" t="s">
        <v>202</v>
      </c>
      <c r="I113" s="53" t="s">
        <v>142</v>
      </c>
      <c r="J113" s="38"/>
    </row>
    <row r="114" spans="1:10" x14ac:dyDescent="0.25">
      <c r="A114" s="42"/>
      <c r="B114" s="44" t="s">
        <v>70</v>
      </c>
      <c r="C114" s="44" t="s">
        <v>19</v>
      </c>
      <c r="D114" s="42" t="s">
        <v>16</v>
      </c>
      <c r="E114" s="42">
        <v>2</v>
      </c>
      <c r="F114" s="38">
        <v>72</v>
      </c>
      <c r="G114" s="26"/>
      <c r="H114" s="39" t="s">
        <v>154</v>
      </c>
      <c r="I114" s="53" t="s">
        <v>142</v>
      </c>
      <c r="J114" s="38"/>
    </row>
    <row r="115" spans="1:10" x14ac:dyDescent="0.25">
      <c r="A115" s="42"/>
      <c r="B115" s="110" t="s">
        <v>71</v>
      </c>
      <c r="C115" s="54" t="s">
        <v>13</v>
      </c>
      <c r="D115" s="42" t="s">
        <v>16</v>
      </c>
      <c r="E115" s="42">
        <v>2</v>
      </c>
      <c r="F115" s="38">
        <v>94</v>
      </c>
      <c r="G115" s="26"/>
      <c r="H115" s="39" t="s">
        <v>155</v>
      </c>
      <c r="I115" s="53" t="s">
        <v>142</v>
      </c>
      <c r="J115" s="38"/>
    </row>
    <row r="116" spans="1:10" x14ac:dyDescent="0.25">
      <c r="A116" s="42"/>
      <c r="B116" s="44" t="s">
        <v>72</v>
      </c>
      <c r="C116" s="44" t="s">
        <v>58</v>
      </c>
      <c r="D116" s="42" t="s">
        <v>16</v>
      </c>
      <c r="E116" s="42">
        <v>2</v>
      </c>
      <c r="F116" s="38">
        <v>88</v>
      </c>
      <c r="G116" s="26"/>
      <c r="H116" s="39" t="s">
        <v>156</v>
      </c>
      <c r="I116" s="53" t="s">
        <v>142</v>
      </c>
      <c r="J116" s="38"/>
    </row>
    <row r="117" spans="1:10" x14ac:dyDescent="0.25">
      <c r="A117" s="42"/>
      <c r="B117" s="44"/>
      <c r="C117" s="44"/>
      <c r="D117" s="42"/>
      <c r="E117" s="42"/>
      <c r="F117" s="38"/>
      <c r="G117" s="26"/>
      <c r="H117" s="39"/>
      <c r="I117" s="53"/>
      <c r="J117" s="38"/>
    </row>
    <row r="118" spans="1:10" x14ac:dyDescent="0.25">
      <c r="A118" s="42"/>
      <c r="B118" s="44"/>
      <c r="C118" s="44"/>
      <c r="D118" s="37"/>
      <c r="E118" s="37"/>
      <c r="F118" s="38"/>
      <c r="G118" s="26"/>
      <c r="H118" s="54"/>
      <c r="I118" s="53"/>
      <c r="J118" s="38"/>
    </row>
    <row r="119" spans="1:10" s="63" customFormat="1" ht="21" x14ac:dyDescent="0.4">
      <c r="A119" s="459" t="s">
        <v>172</v>
      </c>
      <c r="B119" s="459"/>
      <c r="C119" s="459"/>
      <c r="D119" s="13"/>
      <c r="E119" s="17"/>
      <c r="F119" s="18"/>
      <c r="G119" s="19"/>
      <c r="H119" s="48">
        <f>SUM(F122:F124)</f>
        <v>816</v>
      </c>
      <c r="I119" s="14"/>
      <c r="J119" s="28"/>
    </row>
    <row r="120" spans="1:10" x14ac:dyDescent="0.3">
      <c r="A120" s="13"/>
      <c r="B120" s="23" t="s">
        <v>3</v>
      </c>
      <c r="C120" s="23" t="s">
        <v>4</v>
      </c>
      <c r="D120" s="24" t="s">
        <v>5</v>
      </c>
      <c r="E120" s="25" t="s">
        <v>6</v>
      </c>
      <c r="F120" s="26" t="s">
        <v>7</v>
      </c>
      <c r="G120" s="24" t="s">
        <v>8</v>
      </c>
      <c r="H120" s="27" t="s">
        <v>9</v>
      </c>
      <c r="I120" s="23" t="s">
        <v>10</v>
      </c>
      <c r="J120" s="28"/>
    </row>
    <row r="121" spans="1:10" x14ac:dyDescent="0.3">
      <c r="A121" s="13"/>
      <c r="B121" s="29" t="s">
        <v>12</v>
      </c>
      <c r="C121" s="30"/>
      <c r="D121" s="30"/>
      <c r="E121" s="31"/>
      <c r="F121" s="32"/>
      <c r="G121" s="49"/>
      <c r="H121" s="50"/>
      <c r="I121" s="33"/>
      <c r="J121" s="34"/>
    </row>
    <row r="122" spans="1:10" ht="33" customHeight="1" x14ac:dyDescent="0.25">
      <c r="A122" s="42"/>
      <c r="B122" s="45" t="s">
        <v>138</v>
      </c>
      <c r="C122" s="45" t="s">
        <v>108</v>
      </c>
      <c r="D122" s="42" t="s">
        <v>16</v>
      </c>
      <c r="E122" s="42">
        <v>2</v>
      </c>
      <c r="F122" s="14">
        <f>342+474</f>
        <v>816</v>
      </c>
      <c r="G122" s="37"/>
      <c r="H122" s="19" t="s">
        <v>139</v>
      </c>
      <c r="I122" s="45" t="s">
        <v>142</v>
      </c>
      <c r="J122" s="145" t="s">
        <v>171</v>
      </c>
    </row>
    <row r="123" spans="1:10" x14ac:dyDescent="0.25">
      <c r="A123" s="42"/>
      <c r="B123" s="51"/>
      <c r="C123" s="52"/>
      <c r="D123" s="37"/>
      <c r="E123" s="37"/>
      <c r="F123" s="26"/>
      <c r="G123" s="26"/>
      <c r="H123" s="39"/>
      <c r="I123" s="53"/>
      <c r="J123" s="38"/>
    </row>
    <row r="124" spans="1:10" x14ac:dyDescent="0.25">
      <c r="A124" s="42"/>
      <c r="B124" s="51"/>
      <c r="C124" s="52"/>
      <c r="D124" s="37"/>
      <c r="E124" s="37"/>
      <c r="F124" s="26"/>
      <c r="G124" s="26"/>
      <c r="H124" s="39"/>
      <c r="I124" s="53"/>
      <c r="J124" s="38"/>
    </row>
    <row r="125" spans="1:10" ht="21" x14ac:dyDescent="0.4">
      <c r="A125" s="69" t="s">
        <v>30</v>
      </c>
      <c r="B125" s="70"/>
      <c r="C125" s="70"/>
      <c r="D125" s="71"/>
      <c r="E125" s="72"/>
      <c r="F125" s="73"/>
      <c r="G125" s="74"/>
      <c r="H125" s="75"/>
      <c r="I125" s="75"/>
      <c r="J125" s="75"/>
    </row>
    <row r="126" spans="1:10" s="80" customFormat="1" ht="21" x14ac:dyDescent="0.4">
      <c r="A126" s="76"/>
      <c r="B126" s="77"/>
      <c r="C126" s="77"/>
      <c r="D126" s="77"/>
      <c r="E126" s="68"/>
      <c r="F126" s="38"/>
      <c r="G126" s="78"/>
      <c r="H126" s="79"/>
      <c r="I126" s="79"/>
      <c r="J126" s="79"/>
    </row>
    <row r="127" spans="1:10" ht="24.6" x14ac:dyDescent="0.3">
      <c r="A127" s="463" t="s">
        <v>31</v>
      </c>
      <c r="B127" s="464"/>
      <c r="C127" s="465"/>
      <c r="D127" s="81"/>
      <c r="E127" s="81"/>
      <c r="F127" s="81"/>
      <c r="G127" s="81"/>
      <c r="H127" s="81"/>
      <c r="I127" s="81"/>
      <c r="J127" s="81"/>
    </row>
    <row r="128" spans="1:10" x14ac:dyDescent="0.3">
      <c r="A128" s="82"/>
      <c r="B128" s="83"/>
      <c r="C128" s="83"/>
      <c r="D128" s="68"/>
      <c r="E128" s="68"/>
      <c r="F128" s="65"/>
      <c r="G128" s="84"/>
      <c r="H128" s="85" t="s">
        <v>15</v>
      </c>
      <c r="I128" s="86"/>
      <c r="J128" s="87"/>
    </row>
    <row r="129" spans="1:10" ht="21" x14ac:dyDescent="0.3">
      <c r="A129" s="450" t="s">
        <v>77</v>
      </c>
      <c r="B129" s="451"/>
      <c r="C129" s="452"/>
      <c r="D129" s="88"/>
      <c r="E129" s="89"/>
      <c r="F129" s="65"/>
      <c r="G129" s="90"/>
      <c r="H129" s="91">
        <f>SUM(F132:F135)</f>
        <v>353</v>
      </c>
      <c r="I129" s="92"/>
      <c r="J129" s="93"/>
    </row>
    <row r="130" spans="1:10" x14ac:dyDescent="0.3">
      <c r="A130" s="94"/>
      <c r="B130" s="95" t="s">
        <v>3</v>
      </c>
      <c r="C130" s="95" t="s">
        <v>4</v>
      </c>
      <c r="D130" s="95" t="s">
        <v>5</v>
      </c>
      <c r="E130" s="96" t="s">
        <v>6</v>
      </c>
      <c r="F130" s="97" t="s">
        <v>7</v>
      </c>
      <c r="G130" s="95" t="s">
        <v>8</v>
      </c>
      <c r="H130" s="96" t="s">
        <v>9</v>
      </c>
      <c r="I130" s="147" t="s">
        <v>10</v>
      </c>
      <c r="J130" s="148"/>
    </row>
    <row r="131" spans="1:10" x14ac:dyDescent="0.3">
      <c r="A131" s="94"/>
      <c r="B131" s="95" t="s">
        <v>12</v>
      </c>
      <c r="C131" s="98"/>
      <c r="D131" s="98"/>
      <c r="E131" s="47"/>
      <c r="F131" s="97"/>
      <c r="G131" s="99"/>
      <c r="H131" s="100"/>
      <c r="I131" s="149"/>
      <c r="J131" s="148"/>
    </row>
    <row r="132" spans="1:10" x14ac:dyDescent="0.3">
      <c r="A132" s="101"/>
      <c r="B132" s="103" t="s">
        <v>18</v>
      </c>
      <c r="C132" s="103" t="s">
        <v>19</v>
      </c>
      <c r="D132" s="104" t="s">
        <v>16</v>
      </c>
      <c r="E132" s="104">
        <v>2</v>
      </c>
      <c r="F132" s="97">
        <v>99</v>
      </c>
      <c r="G132" s="105"/>
      <c r="H132" s="102" t="s">
        <v>20</v>
      </c>
      <c r="I132" s="149" t="s">
        <v>142</v>
      </c>
      <c r="J132" s="98"/>
    </row>
    <row r="133" spans="1:10" x14ac:dyDescent="0.3">
      <c r="A133" s="101"/>
      <c r="B133" s="117" t="s">
        <v>21</v>
      </c>
      <c r="C133" s="103" t="s">
        <v>13</v>
      </c>
      <c r="D133" s="104" t="s">
        <v>16</v>
      </c>
      <c r="E133" s="104">
        <v>2</v>
      </c>
      <c r="F133" s="97">
        <v>141</v>
      </c>
      <c r="G133" s="105"/>
      <c r="H133" s="102" t="s">
        <v>22</v>
      </c>
      <c r="I133" s="149" t="s">
        <v>142</v>
      </c>
      <c r="J133" s="98"/>
    </row>
    <row r="134" spans="1:10" x14ac:dyDescent="0.3">
      <c r="A134" s="101"/>
      <c r="B134" s="103" t="s">
        <v>23</v>
      </c>
      <c r="C134" s="103" t="s">
        <v>13</v>
      </c>
      <c r="D134" s="104" t="s">
        <v>16</v>
      </c>
      <c r="E134" s="104">
        <v>2</v>
      </c>
      <c r="F134" s="97">
        <v>113</v>
      </c>
      <c r="G134" s="105"/>
      <c r="H134" s="117" t="s">
        <v>24</v>
      </c>
      <c r="I134" s="149" t="s">
        <v>142</v>
      </c>
      <c r="J134" s="98"/>
    </row>
    <row r="135" spans="1:10" x14ac:dyDescent="0.3">
      <c r="A135" s="101"/>
      <c r="B135" s="102"/>
      <c r="C135" s="103"/>
      <c r="D135" s="104"/>
      <c r="E135" s="104"/>
      <c r="F135" s="105"/>
      <c r="G135" s="105"/>
      <c r="H135" s="103"/>
      <c r="I135" s="149"/>
      <c r="J135" s="98"/>
    </row>
    <row r="136" spans="1:10" s="64" customFormat="1" x14ac:dyDescent="0.25">
      <c r="A136" s="42"/>
      <c r="B136" s="39"/>
      <c r="C136" s="39"/>
      <c r="D136" s="37"/>
      <c r="E136" s="37"/>
      <c r="F136" s="38"/>
      <c r="G136" s="26"/>
      <c r="H136" s="39"/>
      <c r="I136" s="53"/>
      <c r="J136" s="38"/>
    </row>
    <row r="137" spans="1:10" ht="24.6" x14ac:dyDescent="0.4">
      <c r="A137" s="460" t="s">
        <v>32</v>
      </c>
      <c r="B137" s="461"/>
      <c r="C137" s="462"/>
      <c r="D137" s="6"/>
      <c r="E137" s="7"/>
      <c r="F137" s="8"/>
      <c r="G137" s="9"/>
      <c r="H137" s="10"/>
      <c r="I137" s="9"/>
      <c r="J137" s="10"/>
    </row>
    <row r="138" spans="1:10" x14ac:dyDescent="0.3">
      <c r="A138" s="11"/>
      <c r="B138" s="12"/>
      <c r="C138" s="12"/>
      <c r="D138" s="13"/>
      <c r="E138" s="13"/>
      <c r="F138" s="14"/>
      <c r="G138" s="13"/>
      <c r="H138" s="15"/>
      <c r="I138" s="16" t="s">
        <v>1</v>
      </c>
      <c r="J138" s="17"/>
    </row>
    <row r="139" spans="1:10" ht="21" x14ac:dyDescent="0.4">
      <c r="A139" s="450" t="s">
        <v>163</v>
      </c>
      <c r="B139" s="451"/>
      <c r="C139" s="452"/>
      <c r="D139" s="13"/>
      <c r="E139" s="17"/>
      <c r="F139" s="18"/>
      <c r="G139" s="19"/>
      <c r="H139" s="20"/>
      <c r="I139" s="21">
        <f>SUM(F142:F143)</f>
        <v>910</v>
      </c>
      <c r="J139" s="22"/>
    </row>
    <row r="140" spans="1:10" x14ac:dyDescent="0.3">
      <c r="A140" s="13"/>
      <c r="B140" s="23" t="s">
        <v>3</v>
      </c>
      <c r="C140" s="23" t="s">
        <v>4</v>
      </c>
      <c r="D140" s="24" t="s">
        <v>5</v>
      </c>
      <c r="E140" s="25" t="s">
        <v>6</v>
      </c>
      <c r="F140" s="26" t="s">
        <v>7</v>
      </c>
      <c r="G140" s="24" t="s">
        <v>8</v>
      </c>
      <c r="H140" s="27" t="s">
        <v>9</v>
      </c>
      <c r="I140" s="23" t="s">
        <v>10</v>
      </c>
      <c r="J140" s="28" t="s">
        <v>11</v>
      </c>
    </row>
    <row r="141" spans="1:10" x14ac:dyDescent="0.3">
      <c r="A141" s="13"/>
      <c r="B141" s="29" t="s">
        <v>12</v>
      </c>
      <c r="C141" s="30"/>
      <c r="D141" s="30"/>
      <c r="E141" s="31"/>
      <c r="F141" s="32"/>
      <c r="G141" s="30"/>
      <c r="H141" s="31"/>
      <c r="I141" s="33"/>
      <c r="J141" s="34"/>
    </row>
    <row r="142" spans="1:10" ht="90" x14ac:dyDescent="0.25">
      <c r="A142" s="13"/>
      <c r="B142" s="131" t="s">
        <v>174</v>
      </c>
      <c r="C142" s="45" t="s">
        <v>108</v>
      </c>
      <c r="D142" s="113" t="s">
        <v>41</v>
      </c>
      <c r="E142" s="113">
        <v>2</v>
      </c>
      <c r="F142" s="14">
        <f>654+256</f>
        <v>910</v>
      </c>
      <c r="G142" s="37"/>
      <c r="H142" s="19" t="s">
        <v>165</v>
      </c>
      <c r="I142" s="43" t="s">
        <v>167</v>
      </c>
      <c r="J142" s="145" t="s">
        <v>176</v>
      </c>
    </row>
    <row r="143" spans="1:10" x14ac:dyDescent="0.25">
      <c r="A143" s="42"/>
      <c r="B143" s="55"/>
      <c r="C143" s="108"/>
      <c r="D143" s="66"/>
      <c r="E143" s="66"/>
      <c r="F143" s="56"/>
      <c r="G143" s="67"/>
      <c r="H143" s="108"/>
      <c r="I143" s="43"/>
      <c r="J143" s="38"/>
    </row>
    <row r="144" spans="1:10" x14ac:dyDescent="0.25">
      <c r="A144" s="42"/>
      <c r="B144" s="55"/>
      <c r="C144" s="108"/>
      <c r="D144" s="66"/>
      <c r="E144" s="66"/>
      <c r="F144" s="56"/>
      <c r="G144" s="67"/>
      <c r="H144" s="108"/>
      <c r="I144" s="43"/>
      <c r="J144" s="38"/>
    </row>
    <row r="145" spans="1:10" ht="21" x14ac:dyDescent="0.4">
      <c r="A145" s="450" t="s">
        <v>164</v>
      </c>
      <c r="B145" s="451"/>
      <c r="C145" s="452"/>
      <c r="D145" s="13"/>
      <c r="E145" s="17"/>
      <c r="F145" s="18"/>
      <c r="G145" s="19"/>
      <c r="H145" s="20"/>
      <c r="I145" s="21">
        <f>SUM(F148:F149)</f>
        <v>0</v>
      </c>
      <c r="J145" s="22"/>
    </row>
    <row r="146" spans="1:10" x14ac:dyDescent="0.3">
      <c r="A146" s="13"/>
      <c r="B146" s="23" t="s">
        <v>3</v>
      </c>
      <c r="C146" s="23" t="s">
        <v>4</v>
      </c>
      <c r="D146" s="24" t="s">
        <v>5</v>
      </c>
      <c r="E146" s="25" t="s">
        <v>6</v>
      </c>
      <c r="F146" s="26" t="s">
        <v>7</v>
      </c>
      <c r="G146" s="24" t="s">
        <v>8</v>
      </c>
      <c r="H146" s="27" t="s">
        <v>9</v>
      </c>
      <c r="I146" s="23" t="s">
        <v>10</v>
      </c>
      <c r="J146" s="28" t="s">
        <v>11</v>
      </c>
    </row>
    <row r="147" spans="1:10" x14ac:dyDescent="0.3">
      <c r="A147" s="13"/>
      <c r="B147" s="29" t="s">
        <v>12</v>
      </c>
      <c r="C147" s="30"/>
      <c r="D147" s="30"/>
      <c r="E147" s="31"/>
      <c r="F147" s="32"/>
      <c r="G147" s="30"/>
      <c r="H147" s="31"/>
      <c r="I147" s="33"/>
      <c r="J147" s="34"/>
    </row>
    <row r="148" spans="1:10" ht="45.6" x14ac:dyDescent="0.25">
      <c r="A148" s="13"/>
      <c r="B148" s="131" t="s">
        <v>175</v>
      </c>
      <c r="C148" s="45" t="s">
        <v>108</v>
      </c>
      <c r="D148" s="113" t="s">
        <v>41</v>
      </c>
      <c r="E148" s="113">
        <v>2</v>
      </c>
      <c r="F148" s="14"/>
      <c r="G148" s="37"/>
      <c r="H148" s="19" t="s">
        <v>165</v>
      </c>
      <c r="I148" s="43"/>
      <c r="J148" s="145" t="s">
        <v>176</v>
      </c>
    </row>
    <row r="149" spans="1:10" x14ac:dyDescent="0.25">
      <c r="A149" s="42"/>
      <c r="B149" s="55"/>
      <c r="C149" s="108"/>
      <c r="D149" s="66"/>
      <c r="E149" s="66"/>
      <c r="F149" s="56"/>
      <c r="G149" s="67"/>
      <c r="H149" s="108"/>
      <c r="I149" s="43"/>
      <c r="J149" s="38"/>
    </row>
    <row r="150" spans="1:10" x14ac:dyDescent="0.25">
      <c r="A150" s="42"/>
      <c r="B150" s="55"/>
      <c r="C150" s="108"/>
      <c r="D150" s="66"/>
      <c r="E150" s="66"/>
      <c r="F150" s="56"/>
      <c r="G150" s="67"/>
      <c r="H150" s="108"/>
      <c r="I150" s="43"/>
      <c r="J150" s="38"/>
    </row>
    <row r="151" spans="1:10" x14ac:dyDescent="0.3">
      <c r="A151" s="11"/>
      <c r="B151" s="12"/>
      <c r="C151" s="12"/>
      <c r="D151" s="13"/>
      <c r="E151" s="13"/>
      <c r="F151" s="14"/>
      <c r="G151" s="13"/>
      <c r="H151" s="47" t="s">
        <v>15</v>
      </c>
      <c r="I151" s="17"/>
      <c r="J151" s="17"/>
    </row>
    <row r="152" spans="1:10" s="63" customFormat="1" ht="21" x14ac:dyDescent="0.4">
      <c r="A152" s="459" t="s">
        <v>143</v>
      </c>
      <c r="B152" s="459"/>
      <c r="C152" s="459"/>
      <c r="D152" s="13"/>
      <c r="E152" s="17"/>
      <c r="F152" s="18"/>
      <c r="G152" s="19"/>
      <c r="H152" s="48">
        <f>SUM(F155:F158)</f>
        <v>456</v>
      </c>
      <c r="I152" s="14"/>
      <c r="J152" s="28"/>
    </row>
    <row r="153" spans="1:10" x14ac:dyDescent="0.3">
      <c r="A153" s="13"/>
      <c r="B153" s="23" t="s">
        <v>3</v>
      </c>
      <c r="C153" s="23" t="s">
        <v>4</v>
      </c>
      <c r="D153" s="24" t="s">
        <v>5</v>
      </c>
      <c r="E153" s="25" t="s">
        <v>6</v>
      </c>
      <c r="F153" s="26" t="s">
        <v>7</v>
      </c>
      <c r="G153" s="24" t="s">
        <v>8</v>
      </c>
      <c r="H153" s="27" t="s">
        <v>9</v>
      </c>
      <c r="I153" s="23" t="s">
        <v>10</v>
      </c>
      <c r="J153" s="28"/>
    </row>
    <row r="154" spans="1:10" x14ac:dyDescent="0.3">
      <c r="A154" s="13"/>
      <c r="B154" s="29" t="s">
        <v>12</v>
      </c>
      <c r="C154" s="30"/>
      <c r="D154" s="30"/>
      <c r="E154" s="31"/>
      <c r="F154" s="32"/>
      <c r="G154" s="49"/>
      <c r="H154" s="50"/>
      <c r="I154" s="33"/>
      <c r="J154" s="34"/>
    </row>
    <row r="155" spans="1:10" ht="40.799999999999997" customHeight="1" x14ac:dyDescent="0.25">
      <c r="A155" s="42"/>
      <c r="B155" s="110" t="s">
        <v>78</v>
      </c>
      <c r="C155" s="46" t="s">
        <v>79</v>
      </c>
      <c r="D155" s="37" t="s">
        <v>16</v>
      </c>
      <c r="E155" s="37">
        <v>2</v>
      </c>
      <c r="F155" s="38">
        <f>(108+297+51)</f>
        <v>456</v>
      </c>
      <c r="G155" s="14"/>
      <c r="H155" s="46" t="s">
        <v>157</v>
      </c>
      <c r="I155" s="39" t="s">
        <v>142</v>
      </c>
      <c r="J155" s="38"/>
    </row>
    <row r="156" spans="1:10" x14ac:dyDescent="0.25">
      <c r="A156" s="42"/>
      <c r="B156" s="51"/>
      <c r="C156" s="52"/>
      <c r="D156" s="37"/>
      <c r="E156" s="37"/>
      <c r="F156" s="26"/>
      <c r="G156" s="26"/>
      <c r="H156" s="39"/>
      <c r="I156" s="53"/>
      <c r="J156" s="38"/>
    </row>
    <row r="157" spans="1:10" x14ac:dyDescent="0.25">
      <c r="A157" s="42"/>
      <c r="B157" s="110"/>
      <c r="C157" s="110"/>
      <c r="D157" s="42"/>
      <c r="E157" s="42"/>
      <c r="F157" s="38"/>
      <c r="G157" s="26"/>
      <c r="H157" s="39"/>
      <c r="I157" s="53"/>
      <c r="J157" s="38"/>
    </row>
    <row r="158" spans="1:10" x14ac:dyDescent="0.25">
      <c r="A158" s="42"/>
      <c r="B158" s="44"/>
      <c r="C158" s="44"/>
      <c r="D158" s="37"/>
      <c r="E158" s="37"/>
      <c r="F158" s="38"/>
      <c r="G158" s="26"/>
      <c r="H158" s="54"/>
      <c r="I158" s="53"/>
      <c r="J158" s="38"/>
    </row>
    <row r="159" spans="1:10" s="63" customFormat="1" ht="21" x14ac:dyDescent="0.4">
      <c r="A159" s="459" t="s">
        <v>141</v>
      </c>
      <c r="B159" s="459"/>
      <c r="C159" s="459"/>
      <c r="D159" s="13"/>
      <c r="E159" s="17"/>
      <c r="F159" s="18"/>
      <c r="G159" s="19"/>
      <c r="H159" s="48">
        <f>SUM(F162:F169)</f>
        <v>794</v>
      </c>
      <c r="I159" s="14"/>
      <c r="J159" s="28"/>
    </row>
    <row r="160" spans="1:10" x14ac:dyDescent="0.3">
      <c r="A160" s="13"/>
      <c r="B160" s="23" t="s">
        <v>3</v>
      </c>
      <c r="C160" s="23" t="s">
        <v>4</v>
      </c>
      <c r="D160" s="24" t="s">
        <v>5</v>
      </c>
      <c r="E160" s="25" t="s">
        <v>6</v>
      </c>
      <c r="F160" s="26" t="s">
        <v>7</v>
      </c>
      <c r="G160" s="24" t="s">
        <v>8</v>
      </c>
      <c r="H160" s="27" t="s">
        <v>9</v>
      </c>
      <c r="I160" s="23" t="s">
        <v>10</v>
      </c>
      <c r="J160" s="28"/>
    </row>
    <row r="161" spans="1:10" x14ac:dyDescent="0.3">
      <c r="A161" s="13"/>
      <c r="B161" s="29" t="s">
        <v>12</v>
      </c>
      <c r="C161" s="30"/>
      <c r="D161" s="30"/>
      <c r="E161" s="31"/>
      <c r="F161" s="32"/>
      <c r="G161" s="49"/>
      <c r="H161" s="50"/>
      <c r="I161" s="33"/>
      <c r="J161" s="34"/>
    </row>
    <row r="162" spans="1:10" x14ac:dyDescent="0.25">
      <c r="A162" s="42"/>
      <c r="B162" s="51" t="s">
        <v>80</v>
      </c>
      <c r="C162" s="52" t="s">
        <v>56</v>
      </c>
      <c r="D162" s="37" t="s">
        <v>16</v>
      </c>
      <c r="E162" s="37">
        <v>2</v>
      </c>
      <c r="F162" s="26">
        <v>63</v>
      </c>
      <c r="G162" s="26"/>
      <c r="H162" s="39" t="s">
        <v>204</v>
      </c>
      <c r="I162" s="53" t="s">
        <v>142</v>
      </c>
      <c r="J162" s="38"/>
    </row>
    <row r="163" spans="1:10" x14ac:dyDescent="0.25">
      <c r="A163" s="42"/>
      <c r="B163" s="51" t="s">
        <v>81</v>
      </c>
      <c r="C163" s="52" t="s">
        <v>45</v>
      </c>
      <c r="D163" s="37" t="s">
        <v>16</v>
      </c>
      <c r="E163" s="37">
        <v>2</v>
      </c>
      <c r="F163" s="26">
        <v>243</v>
      </c>
      <c r="G163" s="26"/>
      <c r="H163" s="39" t="s">
        <v>203</v>
      </c>
      <c r="I163" s="53" t="s">
        <v>142</v>
      </c>
      <c r="J163" s="38"/>
    </row>
    <row r="164" spans="1:10" x14ac:dyDescent="0.25">
      <c r="A164" s="42"/>
      <c r="B164" s="51" t="s">
        <v>82</v>
      </c>
      <c r="C164" s="52" t="s">
        <v>19</v>
      </c>
      <c r="D164" s="37" t="s">
        <v>16</v>
      </c>
      <c r="E164" s="37">
        <v>2</v>
      </c>
      <c r="F164" s="26">
        <v>87</v>
      </c>
      <c r="G164" s="26"/>
      <c r="H164" s="39" t="s">
        <v>205</v>
      </c>
      <c r="I164" s="53" t="s">
        <v>142</v>
      </c>
      <c r="J164" s="38"/>
    </row>
    <row r="165" spans="1:10" x14ac:dyDescent="0.25">
      <c r="A165" s="42"/>
      <c r="B165" s="51" t="s">
        <v>83</v>
      </c>
      <c r="C165" s="52" t="s">
        <v>58</v>
      </c>
      <c r="D165" s="37" t="s">
        <v>16</v>
      </c>
      <c r="E165" s="37">
        <v>2</v>
      </c>
      <c r="F165" s="26">
        <v>147</v>
      </c>
      <c r="G165" s="26"/>
      <c r="H165" s="39" t="s">
        <v>206</v>
      </c>
      <c r="I165" s="53" t="s">
        <v>142</v>
      </c>
      <c r="J165" s="38"/>
    </row>
    <row r="166" spans="1:10" x14ac:dyDescent="0.25">
      <c r="A166" s="42"/>
      <c r="B166" s="51" t="s">
        <v>84</v>
      </c>
      <c r="C166" s="52" t="s">
        <v>13</v>
      </c>
      <c r="D166" s="37" t="s">
        <v>16</v>
      </c>
      <c r="E166" s="37">
        <v>2</v>
      </c>
      <c r="F166" s="26">
        <v>144</v>
      </c>
      <c r="G166" s="26"/>
      <c r="H166" s="39" t="s">
        <v>207</v>
      </c>
      <c r="I166" s="53" t="s">
        <v>142</v>
      </c>
      <c r="J166" s="38"/>
    </row>
    <row r="167" spans="1:10" x14ac:dyDescent="0.25">
      <c r="A167" s="42"/>
      <c r="B167" s="51" t="s">
        <v>85</v>
      </c>
      <c r="C167" s="52" t="s">
        <v>13</v>
      </c>
      <c r="D167" s="37" t="s">
        <v>16</v>
      </c>
      <c r="E167" s="37">
        <v>2</v>
      </c>
      <c r="F167" s="26">
        <v>110</v>
      </c>
      <c r="G167" s="26"/>
      <c r="H167" s="39" t="s">
        <v>208</v>
      </c>
      <c r="I167" s="53" t="s">
        <v>142</v>
      </c>
      <c r="J167" s="38"/>
    </row>
    <row r="168" spans="1:10" x14ac:dyDescent="0.25">
      <c r="A168" s="42"/>
      <c r="B168" s="39"/>
      <c r="C168" s="39"/>
      <c r="D168" s="37"/>
      <c r="E168" s="37"/>
      <c r="F168" s="38"/>
      <c r="G168" s="26"/>
      <c r="H168" s="39"/>
      <c r="I168" s="53"/>
      <c r="J168" s="38"/>
    </row>
    <row r="169" spans="1:10" x14ac:dyDescent="0.25">
      <c r="A169" s="42"/>
      <c r="B169" s="44"/>
      <c r="C169" s="44"/>
      <c r="D169" s="37"/>
      <c r="E169" s="37"/>
      <c r="F169" s="38"/>
      <c r="G169" s="26"/>
      <c r="H169" s="54"/>
      <c r="I169" s="53"/>
      <c r="J169" s="38"/>
    </row>
    <row r="170" spans="1:10" ht="24.6" x14ac:dyDescent="0.4">
      <c r="A170" s="460" t="s">
        <v>33</v>
      </c>
      <c r="B170" s="461"/>
      <c r="C170" s="462"/>
      <c r="D170" s="6"/>
      <c r="E170" s="7"/>
      <c r="F170" s="8"/>
      <c r="G170" s="9"/>
      <c r="H170" s="10"/>
      <c r="I170" s="9"/>
      <c r="J170" s="10"/>
    </row>
    <row r="171" spans="1:10" x14ac:dyDescent="0.3">
      <c r="A171" s="11"/>
      <c r="B171" s="12"/>
      <c r="C171" s="12"/>
      <c r="D171" s="13"/>
      <c r="E171" s="13"/>
      <c r="F171" s="14"/>
      <c r="G171" s="13"/>
      <c r="H171" s="15"/>
      <c r="I171" s="16" t="s">
        <v>1</v>
      </c>
      <c r="J171" s="17"/>
    </row>
    <row r="172" spans="1:10" ht="21" x14ac:dyDescent="0.4">
      <c r="A172" s="450" t="s">
        <v>2</v>
      </c>
      <c r="B172" s="451"/>
      <c r="C172" s="452"/>
      <c r="D172" s="13"/>
      <c r="E172" s="17"/>
      <c r="F172" s="18"/>
      <c r="G172" s="19"/>
      <c r="H172" s="20"/>
      <c r="I172" s="21">
        <f>SUM(F175:F176)</f>
        <v>0</v>
      </c>
      <c r="J172" s="22"/>
    </row>
    <row r="173" spans="1:10" x14ac:dyDescent="0.3">
      <c r="A173" s="13"/>
      <c r="B173" s="23" t="s">
        <v>3</v>
      </c>
      <c r="C173" s="23" t="s">
        <v>4</v>
      </c>
      <c r="D173" s="24" t="s">
        <v>5</v>
      </c>
      <c r="E173" s="25" t="s">
        <v>6</v>
      </c>
      <c r="F173" s="26" t="s">
        <v>7</v>
      </c>
      <c r="G173" s="24" t="s">
        <v>8</v>
      </c>
      <c r="H173" s="27" t="s">
        <v>9</v>
      </c>
      <c r="I173" s="23" t="s">
        <v>10</v>
      </c>
      <c r="J173" s="28" t="s">
        <v>11</v>
      </c>
    </row>
    <row r="174" spans="1:10" x14ac:dyDescent="0.3">
      <c r="A174" s="13"/>
      <c r="B174" s="29" t="s">
        <v>12</v>
      </c>
      <c r="C174" s="30"/>
      <c r="D174" s="30"/>
      <c r="E174" s="31"/>
      <c r="F174" s="32"/>
      <c r="G174" s="30"/>
      <c r="H174" s="31"/>
      <c r="I174" s="33"/>
      <c r="J174" s="34"/>
    </row>
    <row r="175" spans="1:10" x14ac:dyDescent="0.3">
      <c r="A175" s="13"/>
      <c r="B175" s="44" t="s">
        <v>87</v>
      </c>
      <c r="C175" s="44" t="s">
        <v>40</v>
      </c>
      <c r="D175" s="42" t="s">
        <v>41</v>
      </c>
      <c r="E175" s="42">
        <v>3</v>
      </c>
      <c r="F175" s="38"/>
      <c r="G175" s="14"/>
      <c r="H175" s="40" t="s">
        <v>158</v>
      </c>
      <c r="I175" s="40" t="s">
        <v>88</v>
      </c>
      <c r="J175" s="41"/>
    </row>
    <row r="176" spans="1:10" x14ac:dyDescent="0.25">
      <c r="A176" s="42"/>
      <c r="B176" s="55"/>
      <c r="C176" s="108"/>
      <c r="D176" s="66"/>
      <c r="E176" s="66"/>
      <c r="F176" s="56"/>
      <c r="G176" s="67"/>
      <c r="H176" s="108"/>
      <c r="I176" s="43"/>
      <c r="J176" s="38"/>
    </row>
    <row r="177" spans="1:10" x14ac:dyDescent="0.25">
      <c r="A177" s="42"/>
      <c r="B177" s="55"/>
      <c r="C177" s="108"/>
      <c r="D177" s="66"/>
      <c r="E177" s="66"/>
      <c r="F177" s="56"/>
      <c r="G177" s="67"/>
      <c r="H177" s="108"/>
      <c r="I177" s="43"/>
      <c r="J177" s="38"/>
    </row>
    <row r="178" spans="1:10" x14ac:dyDescent="0.3">
      <c r="A178" s="11"/>
      <c r="B178" s="12"/>
      <c r="C178" s="12"/>
      <c r="D178" s="13"/>
      <c r="E178" s="13"/>
      <c r="F178" s="14"/>
      <c r="G178" s="13"/>
      <c r="H178" s="47" t="s">
        <v>15</v>
      </c>
      <c r="I178" s="17"/>
      <c r="J178" s="17"/>
    </row>
    <row r="179" spans="1:10" s="63" customFormat="1" ht="21" x14ac:dyDescent="0.4">
      <c r="A179" s="459" t="s">
        <v>185</v>
      </c>
      <c r="B179" s="459"/>
      <c r="C179" s="459"/>
      <c r="D179" s="13"/>
      <c r="E179" s="17"/>
      <c r="F179" s="18"/>
      <c r="G179" s="19"/>
      <c r="H179" s="48">
        <f>SUM(F182:F186)</f>
        <v>826</v>
      </c>
      <c r="I179" s="14"/>
      <c r="J179" s="28"/>
    </row>
    <row r="180" spans="1:10" x14ac:dyDescent="0.3">
      <c r="A180" s="13"/>
      <c r="B180" s="23" t="s">
        <v>3</v>
      </c>
      <c r="C180" s="23" t="s">
        <v>4</v>
      </c>
      <c r="D180" s="24" t="s">
        <v>5</v>
      </c>
      <c r="E180" s="25" t="s">
        <v>6</v>
      </c>
      <c r="F180" s="26" t="s">
        <v>7</v>
      </c>
      <c r="G180" s="24" t="s">
        <v>8</v>
      </c>
      <c r="H180" s="27" t="s">
        <v>9</v>
      </c>
      <c r="I180" s="23" t="s">
        <v>10</v>
      </c>
      <c r="J180" s="28"/>
    </row>
    <row r="181" spans="1:10" x14ac:dyDescent="0.3">
      <c r="A181" s="13"/>
      <c r="B181" s="29" t="s">
        <v>12</v>
      </c>
      <c r="C181" s="30"/>
      <c r="D181" s="30"/>
      <c r="E181" s="31"/>
      <c r="F181" s="32"/>
      <c r="G181" s="49"/>
      <c r="H181" s="50"/>
      <c r="I181" s="33"/>
      <c r="J181" s="34"/>
    </row>
    <row r="182" spans="1:10" x14ac:dyDescent="0.25">
      <c r="A182" s="42"/>
      <c r="B182" s="44" t="s">
        <v>86</v>
      </c>
      <c r="C182" s="44" t="s">
        <v>38</v>
      </c>
      <c r="D182" s="42" t="s">
        <v>16</v>
      </c>
      <c r="E182" s="42">
        <v>2</v>
      </c>
      <c r="F182" s="26">
        <v>332</v>
      </c>
      <c r="G182" s="26"/>
      <c r="H182" s="39" t="s">
        <v>209</v>
      </c>
      <c r="I182" s="53" t="s">
        <v>142</v>
      </c>
      <c r="J182" s="38"/>
    </row>
    <row r="183" spans="1:10" x14ac:dyDescent="0.25">
      <c r="A183" s="42"/>
      <c r="B183" s="44" t="s">
        <v>89</v>
      </c>
      <c r="C183" s="44" t="s">
        <v>56</v>
      </c>
      <c r="D183" s="42" t="s">
        <v>16</v>
      </c>
      <c r="E183" s="42">
        <v>2</v>
      </c>
      <c r="F183" s="26">
        <v>244</v>
      </c>
      <c r="G183" s="26"/>
      <c r="H183" s="39" t="s">
        <v>210</v>
      </c>
      <c r="I183" s="53" t="s">
        <v>142</v>
      </c>
      <c r="J183" s="38"/>
    </row>
    <row r="184" spans="1:10" x14ac:dyDescent="0.25">
      <c r="A184" s="42"/>
      <c r="B184" s="44" t="s">
        <v>90</v>
      </c>
      <c r="C184" s="44" t="s">
        <v>47</v>
      </c>
      <c r="D184" s="42" t="s">
        <v>16</v>
      </c>
      <c r="E184" s="42">
        <v>2</v>
      </c>
      <c r="F184" s="26">
        <v>166</v>
      </c>
      <c r="G184" s="26"/>
      <c r="H184" s="39" t="s">
        <v>201</v>
      </c>
      <c r="I184" s="53" t="s">
        <v>142</v>
      </c>
      <c r="J184" s="38"/>
    </row>
    <row r="185" spans="1:10" x14ac:dyDescent="0.25">
      <c r="A185" s="42"/>
      <c r="B185" s="44" t="s">
        <v>91</v>
      </c>
      <c r="C185" s="44" t="s">
        <v>58</v>
      </c>
      <c r="D185" s="42" t="s">
        <v>16</v>
      </c>
      <c r="E185" s="42">
        <v>2</v>
      </c>
      <c r="F185" s="38">
        <v>84</v>
      </c>
      <c r="G185" s="26"/>
      <c r="H185" s="39" t="s">
        <v>156</v>
      </c>
      <c r="I185" s="53" t="s">
        <v>142</v>
      </c>
      <c r="J185" s="38"/>
    </row>
    <row r="186" spans="1:10" x14ac:dyDescent="0.25">
      <c r="A186" s="42"/>
      <c r="B186" s="44"/>
      <c r="C186" s="44"/>
      <c r="D186" s="37"/>
      <c r="E186" s="37"/>
      <c r="F186" s="38"/>
      <c r="G186" s="26"/>
      <c r="H186" s="54"/>
      <c r="I186" s="53"/>
      <c r="J186" s="38"/>
    </row>
    <row r="187" spans="1:10" x14ac:dyDescent="0.25">
      <c r="A187" s="42"/>
      <c r="B187" s="44"/>
      <c r="C187" s="44"/>
      <c r="D187" s="37"/>
      <c r="E187" s="37"/>
      <c r="F187" s="38"/>
      <c r="G187" s="26"/>
      <c r="H187" s="54"/>
      <c r="I187" s="53"/>
      <c r="J187" s="38"/>
    </row>
    <row r="188" spans="1:10" ht="24.6" x14ac:dyDescent="0.4">
      <c r="A188" s="460" t="s">
        <v>34</v>
      </c>
      <c r="B188" s="461"/>
      <c r="C188" s="462"/>
      <c r="D188" s="6"/>
      <c r="E188" s="7"/>
      <c r="F188" s="8"/>
      <c r="G188" s="9"/>
      <c r="H188" s="10"/>
      <c r="I188" s="9"/>
      <c r="J188" s="10"/>
    </row>
    <row r="189" spans="1:10" x14ac:dyDescent="0.3">
      <c r="A189" s="11"/>
      <c r="B189" s="12"/>
      <c r="C189" s="12"/>
      <c r="D189" s="13"/>
      <c r="E189" s="13"/>
      <c r="F189" s="14"/>
      <c r="G189" s="13"/>
      <c r="H189" s="15"/>
      <c r="I189" s="16" t="s">
        <v>1</v>
      </c>
      <c r="J189" s="17"/>
    </row>
    <row r="190" spans="1:10" ht="21" x14ac:dyDescent="0.4">
      <c r="A190" s="450" t="s">
        <v>2</v>
      </c>
      <c r="B190" s="451"/>
      <c r="C190" s="452"/>
      <c r="D190" s="13"/>
      <c r="E190" s="17"/>
      <c r="F190" s="18"/>
      <c r="G190" s="19"/>
      <c r="H190" s="20"/>
      <c r="I190" s="21">
        <f>SUM(F193:F198)</f>
        <v>577</v>
      </c>
      <c r="J190" s="22"/>
    </row>
    <row r="191" spans="1:10" x14ac:dyDescent="0.3">
      <c r="A191" s="13"/>
      <c r="B191" s="23" t="s">
        <v>3</v>
      </c>
      <c r="C191" s="23" t="s">
        <v>4</v>
      </c>
      <c r="D191" s="24" t="s">
        <v>5</v>
      </c>
      <c r="E191" s="25" t="s">
        <v>6</v>
      </c>
      <c r="F191" s="26" t="s">
        <v>7</v>
      </c>
      <c r="G191" s="24" t="s">
        <v>8</v>
      </c>
      <c r="H191" s="27" t="s">
        <v>9</v>
      </c>
      <c r="I191" s="23" t="s">
        <v>10</v>
      </c>
      <c r="J191" s="28" t="s">
        <v>11</v>
      </c>
    </row>
    <row r="192" spans="1:10" x14ac:dyDescent="0.3">
      <c r="A192" s="13"/>
      <c r="B192" s="29" t="s">
        <v>12</v>
      </c>
      <c r="C192" s="30"/>
      <c r="D192" s="30"/>
      <c r="E192" s="31"/>
      <c r="F192" s="32"/>
      <c r="G192" s="30"/>
      <c r="H192" s="31"/>
      <c r="I192" s="33"/>
      <c r="J192" s="34"/>
    </row>
    <row r="193" spans="1:10" ht="66.599999999999994" customHeight="1" x14ac:dyDescent="0.3">
      <c r="A193" s="13"/>
      <c r="B193" s="44" t="s">
        <v>92</v>
      </c>
      <c r="C193" s="46" t="s">
        <v>93</v>
      </c>
      <c r="D193" s="37" t="s">
        <v>41</v>
      </c>
      <c r="E193" s="37">
        <v>3</v>
      </c>
      <c r="F193" s="38">
        <f>(299+195)</f>
        <v>494</v>
      </c>
      <c r="G193" s="14"/>
      <c r="H193" s="46" t="s">
        <v>160</v>
      </c>
      <c r="I193" s="46" t="s">
        <v>159</v>
      </c>
      <c r="J193" s="41"/>
    </row>
    <row r="194" spans="1:10" x14ac:dyDescent="0.25">
      <c r="A194" s="42"/>
      <c r="B194" s="44" t="s">
        <v>94</v>
      </c>
      <c r="C194" s="39" t="s">
        <v>95</v>
      </c>
      <c r="D194" s="37" t="s">
        <v>41</v>
      </c>
      <c r="E194" s="37">
        <v>2</v>
      </c>
      <c r="F194" s="38">
        <v>83</v>
      </c>
      <c r="G194" s="14"/>
      <c r="H194" s="39" t="s">
        <v>161</v>
      </c>
      <c r="I194" s="43" t="s">
        <v>162</v>
      </c>
      <c r="J194" s="38"/>
    </row>
    <row r="195" spans="1:10" x14ac:dyDescent="0.25">
      <c r="A195" s="42"/>
      <c r="B195" s="44"/>
      <c r="C195" s="39"/>
      <c r="D195" s="37"/>
      <c r="E195" s="37"/>
      <c r="F195" s="38"/>
      <c r="G195" s="14"/>
      <c r="H195" s="39"/>
      <c r="I195" s="43"/>
      <c r="J195" s="38"/>
    </row>
    <row r="196" spans="1:10" x14ac:dyDescent="0.25">
      <c r="A196" s="42"/>
      <c r="B196" s="44"/>
      <c r="C196" s="39"/>
      <c r="D196" s="37"/>
      <c r="E196" s="37"/>
      <c r="F196" s="38"/>
      <c r="G196" s="14"/>
      <c r="H196" s="39"/>
      <c r="I196" s="43"/>
      <c r="J196" s="38"/>
    </row>
    <row r="197" spans="1:10" x14ac:dyDescent="0.25">
      <c r="A197" s="37"/>
      <c r="B197" s="45"/>
      <c r="C197" s="45"/>
      <c r="D197" s="37"/>
      <c r="E197" s="37"/>
      <c r="F197" s="14"/>
      <c r="G197" s="37"/>
      <c r="H197" s="19"/>
      <c r="I197" s="46"/>
      <c r="J197" s="18"/>
    </row>
    <row r="198" spans="1:10" x14ac:dyDescent="0.3">
      <c r="A198" s="11"/>
      <c r="B198" s="12"/>
      <c r="C198" s="12"/>
      <c r="D198" s="13"/>
      <c r="E198" s="13"/>
      <c r="F198" s="14"/>
      <c r="G198" s="13"/>
      <c r="H198" s="47" t="s">
        <v>15</v>
      </c>
      <c r="I198" s="17"/>
      <c r="J198" s="17"/>
    </row>
    <row r="199" spans="1:10" s="63" customFormat="1" ht="21" x14ac:dyDescent="0.4">
      <c r="A199" s="459" t="s">
        <v>143</v>
      </c>
      <c r="B199" s="459"/>
      <c r="C199" s="459"/>
      <c r="D199" s="13"/>
      <c r="E199" s="17"/>
      <c r="F199" s="18"/>
      <c r="G199" s="19"/>
      <c r="H199" s="48">
        <f>SUM(F202:F204)</f>
        <v>852</v>
      </c>
      <c r="I199" s="14"/>
      <c r="J199" s="28"/>
    </row>
    <row r="200" spans="1:10" x14ac:dyDescent="0.3">
      <c r="A200" s="13"/>
      <c r="B200" s="23" t="s">
        <v>3</v>
      </c>
      <c r="C200" s="23" t="s">
        <v>4</v>
      </c>
      <c r="D200" s="24" t="s">
        <v>5</v>
      </c>
      <c r="E200" s="25" t="s">
        <v>6</v>
      </c>
      <c r="F200" s="26" t="s">
        <v>7</v>
      </c>
      <c r="G200" s="24" t="s">
        <v>8</v>
      </c>
      <c r="H200" s="27" t="s">
        <v>9</v>
      </c>
      <c r="I200" s="23" t="s">
        <v>10</v>
      </c>
      <c r="J200" s="28"/>
    </row>
    <row r="201" spans="1:10" x14ac:dyDescent="0.3">
      <c r="A201" s="13"/>
      <c r="B201" s="29" t="s">
        <v>12</v>
      </c>
      <c r="C201" s="30"/>
      <c r="D201" s="30"/>
      <c r="E201" s="31"/>
      <c r="F201" s="32"/>
      <c r="G201" s="49"/>
      <c r="H201" s="50"/>
      <c r="I201" s="33"/>
      <c r="J201" s="34"/>
    </row>
    <row r="202" spans="1:10" ht="36" customHeight="1" x14ac:dyDescent="0.25">
      <c r="A202" s="42"/>
      <c r="B202" s="45" t="s">
        <v>116</v>
      </c>
      <c r="C202" s="45" t="s">
        <v>108</v>
      </c>
      <c r="D202" s="113" t="s">
        <v>16</v>
      </c>
      <c r="E202" s="113">
        <v>2</v>
      </c>
      <c r="F202" s="14">
        <f>624+228</f>
        <v>852</v>
      </c>
      <c r="G202" s="37"/>
      <c r="H202" s="19" t="s">
        <v>136</v>
      </c>
      <c r="I202" s="39" t="s">
        <v>142</v>
      </c>
      <c r="J202" s="146" t="s">
        <v>177</v>
      </c>
    </row>
    <row r="203" spans="1:10" x14ac:dyDescent="0.25">
      <c r="A203" s="42"/>
      <c r="B203" s="109"/>
      <c r="C203" s="109"/>
      <c r="D203" s="42"/>
      <c r="E203" s="42"/>
      <c r="F203" s="26"/>
      <c r="G203" s="26"/>
      <c r="H203" s="39"/>
      <c r="I203" s="53"/>
      <c r="J203" s="38"/>
    </row>
    <row r="204" spans="1:10" x14ac:dyDescent="0.25">
      <c r="A204" s="42"/>
      <c r="B204" s="44"/>
      <c r="C204" s="44"/>
      <c r="D204" s="42"/>
      <c r="E204" s="42"/>
      <c r="F204" s="26"/>
      <c r="G204" s="26"/>
      <c r="H204" s="39"/>
      <c r="I204" s="53"/>
      <c r="J204" s="38"/>
    </row>
    <row r="205" spans="1:10" s="63" customFormat="1" ht="21" x14ac:dyDescent="0.4">
      <c r="A205" s="459" t="s">
        <v>141</v>
      </c>
      <c r="B205" s="459"/>
      <c r="C205" s="459"/>
      <c r="D205" s="13"/>
      <c r="E205" s="17"/>
      <c r="F205" s="18"/>
      <c r="G205" s="19"/>
      <c r="H205" s="48">
        <f>SUM(F208:F214)</f>
        <v>714</v>
      </c>
      <c r="I205" s="14"/>
      <c r="J205" s="28"/>
    </row>
    <row r="206" spans="1:10" x14ac:dyDescent="0.3">
      <c r="A206" s="13"/>
      <c r="B206" s="23" t="s">
        <v>3</v>
      </c>
      <c r="C206" s="23" t="s">
        <v>4</v>
      </c>
      <c r="D206" s="24" t="s">
        <v>5</v>
      </c>
      <c r="E206" s="25" t="s">
        <v>6</v>
      </c>
      <c r="F206" s="26" t="s">
        <v>7</v>
      </c>
      <c r="G206" s="24" t="s">
        <v>8</v>
      </c>
      <c r="H206" s="27" t="s">
        <v>9</v>
      </c>
      <c r="I206" s="23" t="s">
        <v>10</v>
      </c>
      <c r="J206" s="28"/>
    </row>
    <row r="207" spans="1:10" x14ac:dyDescent="0.3">
      <c r="A207" s="13"/>
      <c r="B207" s="29" t="s">
        <v>12</v>
      </c>
      <c r="C207" s="30"/>
      <c r="D207" s="30"/>
      <c r="E207" s="31"/>
      <c r="F207" s="32"/>
      <c r="G207" s="49"/>
      <c r="H207" s="50"/>
      <c r="I207" s="33"/>
      <c r="J207" s="34"/>
    </row>
    <row r="208" spans="1:10" x14ac:dyDescent="0.25">
      <c r="A208" s="42"/>
      <c r="B208" s="44" t="s">
        <v>96</v>
      </c>
      <c r="C208" s="44" t="s">
        <v>97</v>
      </c>
      <c r="D208" s="42" t="s">
        <v>16</v>
      </c>
      <c r="E208" s="42">
        <v>2</v>
      </c>
      <c r="F208" s="26">
        <v>97</v>
      </c>
      <c r="G208" s="26"/>
      <c r="H208" s="39" t="s">
        <v>211</v>
      </c>
      <c r="I208" s="53" t="s">
        <v>142</v>
      </c>
      <c r="J208" s="38"/>
    </row>
    <row r="209" spans="1:10" x14ac:dyDescent="0.25">
      <c r="A209" s="42"/>
      <c r="B209" s="109" t="s">
        <v>98</v>
      </c>
      <c r="C209" s="109" t="s">
        <v>43</v>
      </c>
      <c r="D209" s="42" t="s">
        <v>16</v>
      </c>
      <c r="E209" s="42">
        <v>2</v>
      </c>
      <c r="F209" s="26">
        <v>67</v>
      </c>
      <c r="G209" s="26"/>
      <c r="H209" s="39" t="s">
        <v>212</v>
      </c>
      <c r="I209" s="53" t="s">
        <v>142</v>
      </c>
      <c r="J209" s="38"/>
    </row>
    <row r="210" spans="1:10" x14ac:dyDescent="0.25">
      <c r="A210" s="42"/>
      <c r="B210" s="44" t="s">
        <v>99</v>
      </c>
      <c r="C210" s="44" t="s">
        <v>56</v>
      </c>
      <c r="D210" s="42" t="s">
        <v>16</v>
      </c>
      <c r="E210" s="42">
        <v>2</v>
      </c>
      <c r="F210" s="26">
        <v>212</v>
      </c>
      <c r="G210" s="26"/>
      <c r="H210" s="39" t="s">
        <v>213</v>
      </c>
      <c r="I210" s="53" t="s">
        <v>142</v>
      </c>
      <c r="J210" s="38"/>
    </row>
    <row r="211" spans="1:10" x14ac:dyDescent="0.25">
      <c r="A211" s="42"/>
      <c r="B211" s="44" t="s">
        <v>100</v>
      </c>
      <c r="C211" s="39" t="s">
        <v>13</v>
      </c>
      <c r="D211" s="42" t="s">
        <v>16</v>
      </c>
      <c r="E211" s="42">
        <v>2</v>
      </c>
      <c r="F211" s="38">
        <v>122</v>
      </c>
      <c r="G211" s="26"/>
      <c r="H211" s="39" t="s">
        <v>206</v>
      </c>
      <c r="I211" s="53" t="s">
        <v>142</v>
      </c>
      <c r="J211" s="38"/>
    </row>
    <row r="212" spans="1:10" x14ac:dyDescent="0.25">
      <c r="A212" s="42"/>
      <c r="B212" s="44" t="s">
        <v>101</v>
      </c>
      <c r="C212" s="44" t="s">
        <v>58</v>
      </c>
      <c r="D212" s="42" t="s">
        <v>16</v>
      </c>
      <c r="E212" s="42">
        <v>2</v>
      </c>
      <c r="F212" s="38">
        <v>82</v>
      </c>
      <c r="G212" s="26"/>
      <c r="H212" s="39" t="s">
        <v>214</v>
      </c>
      <c r="I212" s="53" t="s">
        <v>142</v>
      </c>
      <c r="J212" s="38"/>
    </row>
    <row r="213" spans="1:10" x14ac:dyDescent="0.25">
      <c r="A213" s="42"/>
      <c r="B213" s="44" t="s">
        <v>102</v>
      </c>
      <c r="C213" s="44" t="s">
        <v>13</v>
      </c>
      <c r="D213" s="42" t="s">
        <v>16</v>
      </c>
      <c r="E213" s="42">
        <v>2</v>
      </c>
      <c r="F213" s="38">
        <v>134</v>
      </c>
      <c r="G213" s="26"/>
      <c r="H213" s="39" t="s">
        <v>215</v>
      </c>
      <c r="I213" s="53" t="s">
        <v>142</v>
      </c>
      <c r="J213" s="38"/>
    </row>
    <row r="214" spans="1:10" x14ac:dyDescent="0.25">
      <c r="A214" s="42"/>
      <c r="B214" s="39"/>
      <c r="C214" s="39"/>
      <c r="D214" s="37"/>
      <c r="E214" s="37"/>
      <c r="F214" s="38"/>
      <c r="G214" s="26"/>
      <c r="H214" s="39"/>
      <c r="I214" s="53"/>
      <c r="J214" s="38"/>
    </row>
    <row r="216" spans="1:10" ht="24.6" x14ac:dyDescent="0.4">
      <c r="A216" s="456" t="s">
        <v>179</v>
      </c>
      <c r="B216" s="457"/>
      <c r="C216" s="458"/>
      <c r="D216" s="118"/>
      <c r="E216" s="119"/>
      <c r="F216" s="120"/>
      <c r="G216" s="121"/>
      <c r="H216" s="122"/>
      <c r="I216" s="121"/>
      <c r="J216" s="122"/>
    </row>
    <row r="217" spans="1:10" x14ac:dyDescent="0.3">
      <c r="A217" s="11"/>
      <c r="B217" s="12"/>
      <c r="C217" s="12"/>
      <c r="D217" s="13"/>
      <c r="E217" s="13"/>
      <c r="F217" s="14"/>
      <c r="G217" s="13"/>
      <c r="H217" s="15"/>
      <c r="I217" s="16" t="s">
        <v>1</v>
      </c>
      <c r="J217" s="17"/>
    </row>
    <row r="218" spans="1:10" ht="21" x14ac:dyDescent="0.4">
      <c r="A218" s="450" t="s">
        <v>180</v>
      </c>
      <c r="B218" s="451"/>
      <c r="C218" s="452"/>
      <c r="D218" s="13"/>
      <c r="E218" s="17"/>
      <c r="F218" s="18"/>
      <c r="G218" s="19"/>
      <c r="H218" s="20"/>
      <c r="I218" s="21">
        <f>SUM(F221:F221)</f>
        <v>80</v>
      </c>
      <c r="J218" s="22"/>
    </row>
    <row r="219" spans="1:10" x14ac:dyDescent="0.3">
      <c r="A219" s="13"/>
      <c r="B219" s="23" t="s">
        <v>3</v>
      </c>
      <c r="C219" s="23" t="s">
        <v>4</v>
      </c>
      <c r="D219" s="24" t="s">
        <v>5</v>
      </c>
      <c r="E219" s="25" t="s">
        <v>6</v>
      </c>
      <c r="F219" s="26" t="s">
        <v>7</v>
      </c>
      <c r="G219" s="24" t="s">
        <v>8</v>
      </c>
      <c r="H219" s="27" t="s">
        <v>9</v>
      </c>
      <c r="I219" s="23" t="s">
        <v>10</v>
      </c>
      <c r="J219" s="28" t="s">
        <v>11</v>
      </c>
    </row>
    <row r="220" spans="1:10" x14ac:dyDescent="0.3">
      <c r="A220" s="13"/>
      <c r="B220" s="29" t="s">
        <v>12</v>
      </c>
      <c r="C220" s="30"/>
      <c r="D220" s="30"/>
      <c r="E220" s="31"/>
      <c r="F220" s="32"/>
      <c r="G220" s="30"/>
      <c r="H220" s="31"/>
      <c r="I220" s="33"/>
      <c r="J220" s="34"/>
    </row>
    <row r="221" spans="1:10" x14ac:dyDescent="0.3">
      <c r="A221" s="13"/>
      <c r="B221" s="54" t="s">
        <v>105</v>
      </c>
      <c r="C221" s="110" t="s">
        <v>58</v>
      </c>
      <c r="D221" s="42" t="s">
        <v>16</v>
      </c>
      <c r="E221" s="42">
        <v>2</v>
      </c>
      <c r="F221" s="26">
        <v>80</v>
      </c>
      <c r="G221" s="26"/>
      <c r="H221" s="39" t="s">
        <v>181</v>
      </c>
      <c r="I221" s="40" t="s">
        <v>182</v>
      </c>
      <c r="J221" s="41"/>
    </row>
    <row r="222" spans="1:10" x14ac:dyDescent="0.25">
      <c r="A222" s="42"/>
      <c r="B222" s="55"/>
      <c r="C222" s="108"/>
      <c r="D222" s="66"/>
      <c r="E222" s="66"/>
      <c r="F222" s="56"/>
      <c r="G222" s="67"/>
      <c r="H222" s="108"/>
      <c r="I222" s="43"/>
      <c r="J222" s="38"/>
    </row>
    <row r="223" spans="1:10" x14ac:dyDescent="0.3">
      <c r="A223" s="11"/>
      <c r="B223" s="12"/>
      <c r="C223" s="12"/>
      <c r="D223" s="13"/>
      <c r="E223" s="13"/>
      <c r="F223" s="14"/>
      <c r="G223" s="13"/>
      <c r="H223" s="47" t="s">
        <v>15</v>
      </c>
      <c r="I223" s="17"/>
      <c r="J223" s="17"/>
    </row>
    <row r="224" spans="1:10" s="63" customFormat="1" ht="21" x14ac:dyDescent="0.4">
      <c r="A224" s="459" t="s">
        <v>143</v>
      </c>
      <c r="B224" s="459"/>
      <c r="C224" s="459"/>
      <c r="D224" s="13"/>
      <c r="E224" s="17"/>
      <c r="F224" s="18"/>
      <c r="G224" s="19"/>
      <c r="H224" s="48">
        <f>SUM(F227:F229)</f>
        <v>816</v>
      </c>
      <c r="I224" s="14"/>
      <c r="J224" s="28"/>
    </row>
    <row r="225" spans="1:10" x14ac:dyDescent="0.3">
      <c r="A225" s="13"/>
      <c r="B225" s="23" t="s">
        <v>3</v>
      </c>
      <c r="C225" s="23" t="s">
        <v>4</v>
      </c>
      <c r="D225" s="24" t="s">
        <v>5</v>
      </c>
      <c r="E225" s="25" t="s">
        <v>6</v>
      </c>
      <c r="F225" s="26" t="s">
        <v>7</v>
      </c>
      <c r="G225" s="24" t="s">
        <v>8</v>
      </c>
      <c r="H225" s="27" t="s">
        <v>9</v>
      </c>
      <c r="I225" s="23" t="s">
        <v>10</v>
      </c>
      <c r="J225" s="28"/>
    </row>
    <row r="226" spans="1:10" x14ac:dyDescent="0.3">
      <c r="A226" s="13"/>
      <c r="B226" s="29" t="s">
        <v>12</v>
      </c>
      <c r="C226" s="30"/>
      <c r="D226" s="30"/>
      <c r="E226" s="31"/>
      <c r="F226" s="32"/>
      <c r="G226" s="49"/>
      <c r="H226" s="50"/>
      <c r="I226" s="33"/>
      <c r="J226" s="34"/>
    </row>
    <row r="227" spans="1:10" ht="40.799999999999997" customHeight="1" x14ac:dyDescent="0.25">
      <c r="A227" s="42"/>
      <c r="B227" s="45" t="s">
        <v>138</v>
      </c>
      <c r="C227" s="45" t="s">
        <v>108</v>
      </c>
      <c r="D227" s="42" t="s">
        <v>16</v>
      </c>
      <c r="E227" s="42">
        <v>2</v>
      </c>
      <c r="F227" s="14">
        <f>342+474</f>
        <v>816</v>
      </c>
      <c r="G227" s="37"/>
      <c r="H227" s="19" t="s">
        <v>139</v>
      </c>
      <c r="I227" s="45" t="s">
        <v>142</v>
      </c>
      <c r="J227" s="145" t="s">
        <v>183</v>
      </c>
    </row>
    <row r="228" spans="1:10" x14ac:dyDescent="0.25">
      <c r="A228" s="42"/>
      <c r="B228" s="109"/>
      <c r="C228" s="109"/>
      <c r="D228" s="42"/>
      <c r="E228" s="42"/>
      <c r="F228" s="26"/>
      <c r="G228" s="26"/>
      <c r="H228" s="39"/>
      <c r="I228" s="53"/>
      <c r="J228" s="38"/>
    </row>
    <row r="229" spans="1:10" x14ac:dyDescent="0.25">
      <c r="A229" s="42"/>
      <c r="B229" s="44"/>
      <c r="C229" s="44"/>
      <c r="D229" s="37"/>
      <c r="E229" s="37"/>
      <c r="F229" s="38"/>
      <c r="G229" s="26"/>
      <c r="H229" s="54"/>
      <c r="I229" s="53"/>
      <c r="J229" s="38"/>
    </row>
    <row r="231" spans="1:10" ht="21" x14ac:dyDescent="0.4">
      <c r="A231" s="69" t="s">
        <v>103</v>
      </c>
      <c r="B231" s="70"/>
      <c r="C231" s="70"/>
      <c r="D231" s="71"/>
      <c r="E231" s="72"/>
      <c r="F231" s="73"/>
      <c r="G231" s="74"/>
      <c r="H231" s="75"/>
      <c r="I231" s="75"/>
      <c r="J231" s="75"/>
    </row>
    <row r="233" spans="1:10" ht="21" x14ac:dyDescent="0.4">
      <c r="A233" s="69" t="s">
        <v>104</v>
      </c>
      <c r="B233" s="70"/>
      <c r="C233" s="70"/>
      <c r="D233" s="71"/>
      <c r="E233" s="72"/>
      <c r="F233" s="73"/>
      <c r="G233" s="74"/>
      <c r="H233" s="75"/>
      <c r="I233" s="75"/>
      <c r="J233" s="75"/>
    </row>
    <row r="235" spans="1:10" ht="24.6" x14ac:dyDescent="0.4">
      <c r="A235" s="448" t="s">
        <v>106</v>
      </c>
      <c r="B235" s="448"/>
      <c r="C235" s="448"/>
      <c r="D235" s="112"/>
      <c r="E235" s="112"/>
      <c r="F235" s="112"/>
      <c r="G235" s="112"/>
      <c r="H235" s="112"/>
      <c r="I235" s="112"/>
      <c r="J235" s="112"/>
    </row>
    <row r="236" spans="1:10" x14ac:dyDescent="0.3">
      <c r="A236" s="13"/>
      <c r="B236" s="23" t="s">
        <v>3</v>
      </c>
      <c r="C236" s="23" t="s">
        <v>4</v>
      </c>
      <c r="D236" s="23" t="s">
        <v>5</v>
      </c>
      <c r="E236" s="27" t="s">
        <v>6</v>
      </c>
      <c r="F236" s="14" t="s">
        <v>7</v>
      </c>
      <c r="G236" s="23" t="s">
        <v>8</v>
      </c>
      <c r="H236" s="27" t="s">
        <v>9</v>
      </c>
      <c r="I236" s="23"/>
      <c r="J236" s="28"/>
    </row>
    <row r="237" spans="1:10" x14ac:dyDescent="0.3">
      <c r="A237" s="13"/>
      <c r="B237" s="29" t="s">
        <v>12</v>
      </c>
      <c r="C237" s="30"/>
      <c r="D237" s="30"/>
      <c r="E237" s="31"/>
      <c r="F237" s="32"/>
      <c r="G237" s="49"/>
      <c r="H237" s="50"/>
      <c r="I237" s="33"/>
      <c r="J237" s="34"/>
    </row>
    <row r="238" spans="1:10" x14ac:dyDescent="0.25">
      <c r="A238" s="112">
        <v>1</v>
      </c>
      <c r="B238" s="45" t="s">
        <v>107</v>
      </c>
      <c r="C238" s="45" t="s">
        <v>108</v>
      </c>
      <c r="D238" s="112" t="s">
        <v>41</v>
      </c>
      <c r="E238" s="112">
        <v>2</v>
      </c>
      <c r="F238" s="14">
        <f>654+256</f>
        <v>910</v>
      </c>
      <c r="G238" s="37"/>
      <c r="H238" s="19" t="s">
        <v>137</v>
      </c>
      <c r="I238" s="123" t="s">
        <v>109</v>
      </c>
      <c r="J238" s="20" t="s">
        <v>110</v>
      </c>
    </row>
    <row r="239" spans="1:10" x14ac:dyDescent="0.25">
      <c r="A239" s="112">
        <v>2</v>
      </c>
      <c r="B239" s="45" t="s">
        <v>111</v>
      </c>
      <c r="C239" s="45" t="s">
        <v>112</v>
      </c>
      <c r="D239" s="112" t="s">
        <v>41</v>
      </c>
      <c r="E239" s="112">
        <v>2</v>
      </c>
      <c r="F239" s="14">
        <v>324</v>
      </c>
      <c r="G239" s="13"/>
      <c r="H239" s="19" t="s">
        <v>134</v>
      </c>
      <c r="I239" s="123" t="s">
        <v>109</v>
      </c>
      <c r="J239" s="20" t="s">
        <v>110</v>
      </c>
    </row>
    <row r="240" spans="1:10" x14ac:dyDescent="0.25">
      <c r="A240" s="112">
        <v>3</v>
      </c>
      <c r="B240" s="45" t="s">
        <v>113</v>
      </c>
      <c r="C240" s="45" t="s">
        <v>45</v>
      </c>
      <c r="D240" s="112" t="s">
        <v>41</v>
      </c>
      <c r="E240" s="112">
        <v>2</v>
      </c>
      <c r="F240" s="14">
        <v>222</v>
      </c>
      <c r="G240" s="37"/>
      <c r="H240" s="19" t="s">
        <v>114</v>
      </c>
      <c r="I240" s="123" t="s">
        <v>109</v>
      </c>
      <c r="J240" s="20" t="s">
        <v>110</v>
      </c>
    </row>
    <row r="241" spans="1:10" x14ac:dyDescent="0.25">
      <c r="A241" s="112">
        <v>4</v>
      </c>
      <c r="B241" s="45" t="s">
        <v>115</v>
      </c>
      <c r="C241" s="45" t="s">
        <v>51</v>
      </c>
      <c r="D241" s="112" t="s">
        <v>41</v>
      </c>
      <c r="E241" s="112">
        <v>2</v>
      </c>
      <c r="F241" s="14">
        <v>231</v>
      </c>
      <c r="G241" s="37"/>
      <c r="H241" s="19" t="s">
        <v>135</v>
      </c>
      <c r="I241" s="123" t="s">
        <v>109</v>
      </c>
      <c r="J241" s="20" t="s">
        <v>110</v>
      </c>
    </row>
    <row r="242" spans="1:10" x14ac:dyDescent="0.25">
      <c r="A242" s="112">
        <v>5</v>
      </c>
      <c r="B242" s="45" t="s">
        <v>116</v>
      </c>
      <c r="C242" s="45" t="s">
        <v>108</v>
      </c>
      <c r="D242" s="112" t="s">
        <v>16</v>
      </c>
      <c r="E242" s="112">
        <v>2</v>
      </c>
      <c r="F242" s="14">
        <f>624+228</f>
        <v>852</v>
      </c>
      <c r="G242" s="37"/>
      <c r="H242" s="19" t="s">
        <v>136</v>
      </c>
      <c r="I242" s="123" t="s">
        <v>109</v>
      </c>
      <c r="J242" s="20" t="s">
        <v>110</v>
      </c>
    </row>
    <row r="243" spans="1:10" x14ac:dyDescent="0.25">
      <c r="A243" s="112"/>
      <c r="B243" s="45" t="s">
        <v>138</v>
      </c>
      <c r="C243" s="45" t="s">
        <v>108</v>
      </c>
      <c r="D243" s="112"/>
      <c r="E243" s="112"/>
      <c r="F243" s="14">
        <f>342+474</f>
        <v>816</v>
      </c>
      <c r="G243" s="37"/>
      <c r="H243" s="19" t="s">
        <v>139</v>
      </c>
      <c r="I243" s="123" t="s">
        <v>109</v>
      </c>
      <c r="J243" s="20"/>
    </row>
    <row r="244" spans="1:10" x14ac:dyDescent="0.25">
      <c r="A244" s="112"/>
      <c r="B244" s="45" t="s">
        <v>59</v>
      </c>
      <c r="C244" s="45" t="s">
        <v>60</v>
      </c>
      <c r="D244" s="112" t="s">
        <v>16</v>
      </c>
      <c r="E244" s="112">
        <v>2</v>
      </c>
      <c r="F244" s="14">
        <f>127+131</f>
        <v>258</v>
      </c>
      <c r="G244" s="37"/>
      <c r="H244" s="19" t="s">
        <v>117</v>
      </c>
      <c r="I244" s="123" t="s">
        <v>109</v>
      </c>
      <c r="J244" s="20" t="s">
        <v>110</v>
      </c>
    </row>
    <row r="245" spans="1:10" x14ac:dyDescent="0.3">
      <c r="A245" s="124"/>
      <c r="B245" s="125"/>
      <c r="C245" s="126"/>
      <c r="D245" s="124"/>
      <c r="E245" s="124"/>
      <c r="F245" s="14"/>
      <c r="G245" s="124"/>
      <c r="H245" s="127"/>
      <c r="I245" s="128"/>
      <c r="J245" s="28"/>
    </row>
    <row r="246" spans="1:10" ht="24.6" x14ac:dyDescent="0.4">
      <c r="A246" s="449" t="s">
        <v>118</v>
      </c>
      <c r="B246" s="449"/>
      <c r="C246" s="449"/>
      <c r="D246" s="133"/>
      <c r="E246" s="134"/>
      <c r="F246" s="32"/>
      <c r="G246" s="133"/>
      <c r="H246" s="150"/>
      <c r="I246" s="134"/>
      <c r="J246" s="135"/>
    </row>
    <row r="247" spans="1:10" x14ac:dyDescent="0.25">
      <c r="A247" s="130"/>
      <c r="B247" s="45"/>
      <c r="C247" s="45"/>
      <c r="D247" s="37"/>
      <c r="E247" s="37"/>
      <c r="F247" s="14"/>
      <c r="G247" s="37"/>
      <c r="H247" s="45"/>
      <c r="I247" s="131"/>
      <c r="J247" s="20"/>
    </row>
    <row r="248" spans="1:10" x14ac:dyDescent="0.3">
      <c r="A248" s="132"/>
      <c r="B248" s="133" t="s">
        <v>119</v>
      </c>
      <c r="C248" s="133" t="s">
        <v>120</v>
      </c>
      <c r="D248" s="134" t="s">
        <v>16</v>
      </c>
      <c r="E248" s="134">
        <v>2</v>
      </c>
      <c r="F248" s="32">
        <v>92</v>
      </c>
      <c r="G248" s="135" t="s">
        <v>121</v>
      </c>
      <c r="H248" s="114" t="s">
        <v>122</v>
      </c>
      <c r="I248" s="136"/>
      <c r="J248" s="135" t="s">
        <v>123</v>
      </c>
    </row>
    <row r="249" spans="1:10" x14ac:dyDescent="0.3">
      <c r="A249" s="133"/>
      <c r="B249" s="114" t="s">
        <v>71</v>
      </c>
      <c r="C249" s="115" t="s">
        <v>13</v>
      </c>
      <c r="D249" s="114"/>
      <c r="E249" s="116"/>
      <c r="F249" s="32">
        <v>83</v>
      </c>
      <c r="G249" s="137" t="s">
        <v>17</v>
      </c>
      <c r="H249" s="133" t="s">
        <v>122</v>
      </c>
      <c r="I249" s="134"/>
      <c r="J249" s="135" t="s">
        <v>133</v>
      </c>
    </row>
    <row r="250" spans="1:10" x14ac:dyDescent="0.25">
      <c r="A250" s="53"/>
      <c r="B250" s="138"/>
      <c r="C250" s="139"/>
      <c r="D250" s="37"/>
      <c r="E250" s="37"/>
      <c r="F250" s="14"/>
      <c r="G250" s="37"/>
      <c r="H250" s="53"/>
      <c r="I250" s="13"/>
      <c r="J250" s="140"/>
    </row>
    <row r="251" spans="1:10" x14ac:dyDescent="0.3">
      <c r="A251" s="53">
        <v>1</v>
      </c>
      <c r="B251" s="45" t="s">
        <v>124</v>
      </c>
      <c r="C251" s="131" t="s">
        <v>56</v>
      </c>
      <c r="D251" s="39"/>
      <c r="E251" s="37"/>
      <c r="F251" s="14">
        <v>121</v>
      </c>
      <c r="G251" s="28" t="s">
        <v>125</v>
      </c>
      <c r="H251" s="141" t="s">
        <v>126</v>
      </c>
      <c r="I251" s="13"/>
      <c r="J251" s="135" t="s">
        <v>123</v>
      </c>
    </row>
    <row r="252" spans="1:10" x14ac:dyDescent="0.3">
      <c r="A252" s="53">
        <v>2</v>
      </c>
      <c r="B252" s="45" t="s">
        <v>127</v>
      </c>
      <c r="C252" s="131" t="s">
        <v>58</v>
      </c>
      <c r="D252" s="46"/>
      <c r="E252" s="39"/>
      <c r="F252" s="14">
        <v>20</v>
      </c>
      <c r="G252" s="140" t="s">
        <v>14</v>
      </c>
      <c r="H252" s="141" t="s">
        <v>128</v>
      </c>
      <c r="I252" s="129"/>
      <c r="J252" s="135" t="s">
        <v>123</v>
      </c>
    </row>
    <row r="253" spans="1:10" x14ac:dyDescent="0.3">
      <c r="A253" s="53">
        <v>3</v>
      </c>
      <c r="B253" s="45" t="s">
        <v>129</v>
      </c>
      <c r="C253" s="131" t="s">
        <v>130</v>
      </c>
      <c r="D253" s="37"/>
      <c r="E253" s="37"/>
      <c r="F253" s="14">
        <v>207</v>
      </c>
      <c r="G253" s="140" t="s">
        <v>131</v>
      </c>
      <c r="H253" s="53" t="s">
        <v>132</v>
      </c>
      <c r="I253" s="13"/>
      <c r="J253" s="135" t="s">
        <v>123</v>
      </c>
    </row>
    <row r="254" spans="1:10" x14ac:dyDescent="0.25">
      <c r="A254" s="53"/>
      <c r="B254" s="45"/>
      <c r="C254" s="131"/>
      <c r="D254" s="37"/>
      <c r="E254" s="37"/>
      <c r="F254" s="14"/>
      <c r="G254" s="140"/>
      <c r="H254" s="53"/>
      <c r="I254" s="13"/>
      <c r="J254" s="140"/>
    </row>
  </sheetData>
  <mergeCells count="38">
    <mergeCell ref="A205:C205"/>
    <mergeCell ref="A129:C129"/>
    <mergeCell ref="A137:C137"/>
    <mergeCell ref="A188:C188"/>
    <mergeCell ref="A190:C190"/>
    <mergeCell ref="A199:C199"/>
    <mergeCell ref="A4:C4"/>
    <mergeCell ref="A6:C6"/>
    <mergeCell ref="A25:C25"/>
    <mergeCell ref="A36:C36"/>
    <mergeCell ref="A159:C159"/>
    <mergeCell ref="A139:C139"/>
    <mergeCell ref="A152:C152"/>
    <mergeCell ref="A44:C44"/>
    <mergeCell ref="A46:C46"/>
    <mergeCell ref="A53:C53"/>
    <mergeCell ref="A63:C63"/>
    <mergeCell ref="A73:C73"/>
    <mergeCell ref="A100:C100"/>
    <mergeCell ref="A102:C102"/>
    <mergeCell ref="A82:C82"/>
    <mergeCell ref="A84:C84"/>
    <mergeCell ref="A235:C235"/>
    <mergeCell ref="A246:C246"/>
    <mergeCell ref="A18:C18"/>
    <mergeCell ref="I67:I69"/>
    <mergeCell ref="A145:C145"/>
    <mergeCell ref="A216:C216"/>
    <mergeCell ref="A218:C218"/>
    <mergeCell ref="A224:C224"/>
    <mergeCell ref="A170:C170"/>
    <mergeCell ref="A172:C172"/>
    <mergeCell ref="A179:C179"/>
    <mergeCell ref="A91:C91"/>
    <mergeCell ref="A61:C61"/>
    <mergeCell ref="A110:C110"/>
    <mergeCell ref="A119:C119"/>
    <mergeCell ref="A127:C127"/>
  </mergeCells>
  <dataValidations disablePrompts="1" count="1">
    <dataValidation type="list" allowBlank="1" showInputMessage="1" showErrorMessage="1" sqref="I65446 WVQ982950 WLU982950 WBY982950 VSC982950 VIG982950 UYK982950 UOO982950 UES982950 TUW982950 TLA982950 TBE982950 SRI982950 SHM982950 RXQ982950 RNU982950 RDY982950 QUC982950 QKG982950 QAK982950 PQO982950 PGS982950 OWW982950 ONA982950 ODE982950 NTI982950 NJM982950 MZQ982950 MPU982950 MFY982950 LWC982950 LMG982950 LCK982950 KSO982950 KIS982950 JYW982950 JPA982950 JFE982950 IVI982950 ILM982950 IBQ982950 HRU982950 HHY982950 GYC982950 GOG982950 GEK982950 FUO982950 FKS982950 FAW982950 ERA982950 EHE982950 DXI982950 DNM982950 DDQ982950 CTU982950 CJY982950 CAC982950 BQG982950 BGK982950 AWO982950 AMS982950 ACW982950 TA982950 JE982950 I982950 WVQ917414 WLU917414 WBY917414 VSC917414 VIG917414 UYK917414 UOO917414 UES917414 TUW917414 TLA917414 TBE917414 SRI917414 SHM917414 RXQ917414 RNU917414 RDY917414 QUC917414 QKG917414 QAK917414 PQO917414 PGS917414 OWW917414 ONA917414 ODE917414 NTI917414 NJM917414 MZQ917414 MPU917414 MFY917414 LWC917414 LMG917414 LCK917414 KSO917414 KIS917414 JYW917414 JPA917414 JFE917414 IVI917414 ILM917414 IBQ917414 HRU917414 HHY917414 GYC917414 GOG917414 GEK917414 FUO917414 FKS917414 FAW917414 ERA917414 EHE917414 DXI917414 DNM917414 DDQ917414 CTU917414 CJY917414 CAC917414 BQG917414 BGK917414 AWO917414 AMS917414 ACW917414 TA917414 JE917414 I917414 WVQ851878 WLU851878 WBY851878 VSC851878 VIG851878 UYK851878 UOO851878 UES851878 TUW851878 TLA851878 TBE851878 SRI851878 SHM851878 RXQ851878 RNU851878 RDY851878 QUC851878 QKG851878 QAK851878 PQO851878 PGS851878 OWW851878 ONA851878 ODE851878 NTI851878 NJM851878 MZQ851878 MPU851878 MFY851878 LWC851878 LMG851878 LCK851878 KSO851878 KIS851878 JYW851878 JPA851878 JFE851878 IVI851878 ILM851878 IBQ851878 HRU851878 HHY851878 GYC851878 GOG851878 GEK851878 FUO851878 FKS851878 FAW851878 ERA851878 EHE851878 DXI851878 DNM851878 DDQ851878 CTU851878 CJY851878 CAC851878 BQG851878 BGK851878 AWO851878 AMS851878 ACW851878 TA851878 JE851878 I851878 WVQ786342 WLU786342 WBY786342 VSC786342 VIG786342 UYK786342 UOO786342 UES786342 TUW786342 TLA786342 TBE786342 SRI786342 SHM786342 RXQ786342 RNU786342 RDY786342 QUC786342 QKG786342 QAK786342 PQO786342 PGS786342 OWW786342 ONA786342 ODE786342 NTI786342 NJM786342 MZQ786342 MPU786342 MFY786342 LWC786342 LMG786342 LCK786342 KSO786342 KIS786342 JYW786342 JPA786342 JFE786342 IVI786342 ILM786342 IBQ786342 HRU786342 HHY786342 GYC786342 GOG786342 GEK786342 FUO786342 FKS786342 FAW786342 ERA786342 EHE786342 DXI786342 DNM786342 DDQ786342 CTU786342 CJY786342 CAC786342 BQG786342 BGK786342 AWO786342 AMS786342 ACW786342 TA786342 JE786342 I786342 WVQ720806 WLU720806 WBY720806 VSC720806 VIG720806 UYK720806 UOO720806 UES720806 TUW720806 TLA720806 TBE720806 SRI720806 SHM720806 RXQ720806 RNU720806 RDY720806 QUC720806 QKG720806 QAK720806 PQO720806 PGS720806 OWW720806 ONA720806 ODE720806 NTI720806 NJM720806 MZQ720806 MPU720806 MFY720806 LWC720806 LMG720806 LCK720806 KSO720806 KIS720806 JYW720806 JPA720806 JFE720806 IVI720806 ILM720806 IBQ720806 HRU720806 HHY720806 GYC720806 GOG720806 GEK720806 FUO720806 FKS720806 FAW720806 ERA720806 EHE720806 DXI720806 DNM720806 DDQ720806 CTU720806 CJY720806 CAC720806 BQG720806 BGK720806 AWO720806 AMS720806 ACW720806 TA720806 JE720806 I720806 WVQ655270 WLU655270 WBY655270 VSC655270 VIG655270 UYK655270 UOO655270 UES655270 TUW655270 TLA655270 TBE655270 SRI655270 SHM655270 RXQ655270 RNU655270 RDY655270 QUC655270 QKG655270 QAK655270 PQO655270 PGS655270 OWW655270 ONA655270 ODE655270 NTI655270 NJM655270 MZQ655270 MPU655270 MFY655270 LWC655270 LMG655270 LCK655270 KSO655270 KIS655270 JYW655270 JPA655270 JFE655270 IVI655270 ILM655270 IBQ655270 HRU655270 HHY655270 GYC655270 GOG655270 GEK655270 FUO655270 FKS655270 FAW655270 ERA655270 EHE655270 DXI655270 DNM655270 DDQ655270 CTU655270 CJY655270 CAC655270 BQG655270 BGK655270 AWO655270 AMS655270 ACW655270 TA655270 JE655270 I655270 WVQ589734 WLU589734 WBY589734 VSC589734 VIG589734 UYK589734 UOO589734 UES589734 TUW589734 TLA589734 TBE589734 SRI589734 SHM589734 RXQ589734 RNU589734 RDY589734 QUC589734 QKG589734 QAK589734 PQO589734 PGS589734 OWW589734 ONA589734 ODE589734 NTI589734 NJM589734 MZQ589734 MPU589734 MFY589734 LWC589734 LMG589734 LCK589734 KSO589734 KIS589734 JYW589734 JPA589734 JFE589734 IVI589734 ILM589734 IBQ589734 HRU589734 HHY589734 GYC589734 GOG589734 GEK589734 FUO589734 FKS589734 FAW589734 ERA589734 EHE589734 DXI589734 DNM589734 DDQ589734 CTU589734 CJY589734 CAC589734 BQG589734 BGK589734 AWO589734 AMS589734 ACW589734 TA589734 JE589734 I589734 WVQ524198 WLU524198 WBY524198 VSC524198 VIG524198 UYK524198 UOO524198 UES524198 TUW524198 TLA524198 TBE524198 SRI524198 SHM524198 RXQ524198 RNU524198 RDY524198 QUC524198 QKG524198 QAK524198 PQO524198 PGS524198 OWW524198 ONA524198 ODE524198 NTI524198 NJM524198 MZQ524198 MPU524198 MFY524198 LWC524198 LMG524198 LCK524198 KSO524198 KIS524198 JYW524198 JPA524198 JFE524198 IVI524198 ILM524198 IBQ524198 HRU524198 HHY524198 GYC524198 GOG524198 GEK524198 FUO524198 FKS524198 FAW524198 ERA524198 EHE524198 DXI524198 DNM524198 DDQ524198 CTU524198 CJY524198 CAC524198 BQG524198 BGK524198 AWO524198 AMS524198 ACW524198 TA524198 JE524198 I524198 WVQ458662 WLU458662 WBY458662 VSC458662 VIG458662 UYK458662 UOO458662 UES458662 TUW458662 TLA458662 TBE458662 SRI458662 SHM458662 RXQ458662 RNU458662 RDY458662 QUC458662 QKG458662 QAK458662 PQO458662 PGS458662 OWW458662 ONA458662 ODE458662 NTI458662 NJM458662 MZQ458662 MPU458662 MFY458662 LWC458662 LMG458662 LCK458662 KSO458662 KIS458662 JYW458662 JPA458662 JFE458662 IVI458662 ILM458662 IBQ458662 HRU458662 HHY458662 GYC458662 GOG458662 GEK458662 FUO458662 FKS458662 FAW458662 ERA458662 EHE458662 DXI458662 DNM458662 DDQ458662 CTU458662 CJY458662 CAC458662 BQG458662 BGK458662 AWO458662 AMS458662 ACW458662 TA458662 JE458662 I458662 WVQ393126 WLU393126 WBY393126 VSC393126 VIG393126 UYK393126 UOO393126 UES393126 TUW393126 TLA393126 TBE393126 SRI393126 SHM393126 RXQ393126 RNU393126 RDY393126 QUC393126 QKG393126 QAK393126 PQO393126 PGS393126 OWW393126 ONA393126 ODE393126 NTI393126 NJM393126 MZQ393126 MPU393126 MFY393126 LWC393126 LMG393126 LCK393126 KSO393126 KIS393126 JYW393126 JPA393126 JFE393126 IVI393126 ILM393126 IBQ393126 HRU393126 HHY393126 GYC393126 GOG393126 GEK393126 FUO393126 FKS393126 FAW393126 ERA393126 EHE393126 DXI393126 DNM393126 DDQ393126 CTU393126 CJY393126 CAC393126 BQG393126 BGK393126 AWO393126 AMS393126 ACW393126 TA393126 JE393126 I393126 WVQ327590 WLU327590 WBY327590 VSC327590 VIG327590 UYK327590 UOO327590 UES327590 TUW327590 TLA327590 TBE327590 SRI327590 SHM327590 RXQ327590 RNU327590 RDY327590 QUC327590 QKG327590 QAK327590 PQO327590 PGS327590 OWW327590 ONA327590 ODE327590 NTI327590 NJM327590 MZQ327590 MPU327590 MFY327590 LWC327590 LMG327590 LCK327590 KSO327590 KIS327590 JYW327590 JPA327590 JFE327590 IVI327590 ILM327590 IBQ327590 HRU327590 HHY327590 GYC327590 GOG327590 GEK327590 FUO327590 FKS327590 FAW327590 ERA327590 EHE327590 DXI327590 DNM327590 DDQ327590 CTU327590 CJY327590 CAC327590 BQG327590 BGK327590 AWO327590 AMS327590 ACW327590 TA327590 JE327590 I327590 WVQ262054 WLU262054 WBY262054 VSC262054 VIG262054 UYK262054 UOO262054 UES262054 TUW262054 TLA262054 TBE262054 SRI262054 SHM262054 RXQ262054 RNU262054 RDY262054 QUC262054 QKG262054 QAK262054 PQO262054 PGS262054 OWW262054 ONA262054 ODE262054 NTI262054 NJM262054 MZQ262054 MPU262054 MFY262054 LWC262054 LMG262054 LCK262054 KSO262054 KIS262054 JYW262054 JPA262054 JFE262054 IVI262054 ILM262054 IBQ262054 HRU262054 HHY262054 GYC262054 GOG262054 GEK262054 FUO262054 FKS262054 FAW262054 ERA262054 EHE262054 DXI262054 DNM262054 DDQ262054 CTU262054 CJY262054 CAC262054 BQG262054 BGK262054 AWO262054 AMS262054 ACW262054 TA262054 JE262054 I262054 WVQ196518 WLU196518 WBY196518 VSC196518 VIG196518 UYK196518 UOO196518 UES196518 TUW196518 TLA196518 TBE196518 SRI196518 SHM196518 RXQ196518 RNU196518 RDY196518 QUC196518 QKG196518 QAK196518 PQO196518 PGS196518 OWW196518 ONA196518 ODE196518 NTI196518 NJM196518 MZQ196518 MPU196518 MFY196518 LWC196518 LMG196518 LCK196518 KSO196518 KIS196518 JYW196518 JPA196518 JFE196518 IVI196518 ILM196518 IBQ196518 HRU196518 HHY196518 GYC196518 GOG196518 GEK196518 FUO196518 FKS196518 FAW196518 ERA196518 EHE196518 DXI196518 DNM196518 DDQ196518 CTU196518 CJY196518 CAC196518 BQG196518 BGK196518 AWO196518 AMS196518 ACW196518 TA196518 JE196518 I196518 WVQ130982 WLU130982 WBY130982 VSC130982 VIG130982 UYK130982 UOO130982 UES130982 TUW130982 TLA130982 TBE130982 SRI130982 SHM130982 RXQ130982 RNU130982 RDY130982 QUC130982 QKG130982 QAK130982 PQO130982 PGS130982 OWW130982 ONA130982 ODE130982 NTI130982 NJM130982 MZQ130982 MPU130982 MFY130982 LWC130982 LMG130982 LCK130982 KSO130982 KIS130982 JYW130982 JPA130982 JFE130982 IVI130982 ILM130982 IBQ130982 HRU130982 HHY130982 GYC130982 GOG130982 GEK130982 FUO130982 FKS130982 FAW130982 ERA130982 EHE130982 DXI130982 DNM130982 DDQ130982 CTU130982 CJY130982 CAC130982 BQG130982 BGK130982 AWO130982 AMS130982 ACW130982 TA130982 JE130982 I130982 WVQ65446 WLU65446 WBY65446 VSC65446 VIG65446 UYK65446 UOO65446 UES65446 TUW65446 TLA65446 TBE65446 SRI65446 SHM65446 RXQ65446 RNU65446 RDY65446 QUC65446 QKG65446 QAK65446 PQO65446 PGS65446 OWW65446 ONA65446 ODE65446 NTI65446 NJM65446 MZQ65446 MPU65446 MFY65446 LWC65446 LMG65446 LCK65446 KSO65446 KIS65446 JYW65446 JPA65446 JFE65446 IVI65446 ILM65446 IBQ65446 HRU65446 HHY65446 GYC65446 GOG65446 GEK65446 FUO65446 FKS65446 FAW65446 ERA65446 EHE65446 DXI65446 DNM65446 DDQ65446 CTU65446 CJY65446 CAC65446 BQG65446 BGK65446 AWO65446 AMS65446 ACW65446 TA65446 JE65446" xr:uid="{F78A01C9-4E0D-4151-8569-659A4BEDFD00}">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E592-4EE8-4931-AB57-4BD4B99B8642}">
  <dimension ref="A1:J104"/>
  <sheetViews>
    <sheetView zoomScale="115" zoomScaleNormal="115" workbookViewId="0"/>
  </sheetViews>
  <sheetFormatPr defaultRowHeight="14.4" x14ac:dyDescent="0.3"/>
  <cols>
    <col min="1" max="1" width="13.5546875" customWidth="1"/>
    <col min="2" max="2" width="16.109375" customWidth="1"/>
    <col min="3" max="3" width="21.44140625" customWidth="1"/>
    <col min="4" max="4" width="29.6640625" customWidth="1"/>
    <col min="5" max="5" width="18" customWidth="1"/>
    <col min="6" max="6" width="8.88671875" style="152"/>
    <col min="7" max="7" width="21.33203125" bestFit="1" customWidth="1"/>
    <col min="8" max="8" width="19.77734375" customWidth="1"/>
    <col min="257" max="257" width="13.5546875" customWidth="1"/>
    <col min="258" max="258" width="16.109375" customWidth="1"/>
    <col min="259" max="259" width="21.44140625" customWidth="1"/>
    <col min="260" max="260" width="29.6640625" customWidth="1"/>
    <col min="261" max="261" width="18" customWidth="1"/>
    <col min="263" max="263" width="21.33203125" bestFit="1" customWidth="1"/>
    <col min="264" max="264" width="19.77734375" customWidth="1"/>
    <col min="513" max="513" width="13.5546875" customWidth="1"/>
    <col min="514" max="514" width="16.109375" customWidth="1"/>
    <col min="515" max="515" width="21.44140625" customWidth="1"/>
    <col min="516" max="516" width="29.6640625" customWidth="1"/>
    <col min="517" max="517" width="18" customWidth="1"/>
    <col min="519" max="519" width="21.33203125" bestFit="1" customWidth="1"/>
    <col min="520" max="520" width="19.77734375" customWidth="1"/>
    <col min="769" max="769" width="13.5546875" customWidth="1"/>
    <col min="770" max="770" width="16.109375" customWidth="1"/>
    <col min="771" max="771" width="21.44140625" customWidth="1"/>
    <col min="772" max="772" width="29.6640625" customWidth="1"/>
    <col min="773" max="773" width="18" customWidth="1"/>
    <col min="775" max="775" width="21.33203125" bestFit="1" customWidth="1"/>
    <col min="776" max="776" width="19.77734375" customWidth="1"/>
    <col min="1025" max="1025" width="13.5546875" customWidth="1"/>
    <col min="1026" max="1026" width="16.109375" customWidth="1"/>
    <col min="1027" max="1027" width="21.44140625" customWidth="1"/>
    <col min="1028" max="1028" width="29.6640625" customWidth="1"/>
    <col min="1029" max="1029" width="18" customWidth="1"/>
    <col min="1031" max="1031" width="21.33203125" bestFit="1" customWidth="1"/>
    <col min="1032" max="1032" width="19.77734375" customWidth="1"/>
    <col min="1281" max="1281" width="13.5546875" customWidth="1"/>
    <col min="1282" max="1282" width="16.109375" customWidth="1"/>
    <col min="1283" max="1283" width="21.44140625" customWidth="1"/>
    <col min="1284" max="1284" width="29.6640625" customWidth="1"/>
    <col min="1285" max="1285" width="18" customWidth="1"/>
    <col min="1287" max="1287" width="21.33203125" bestFit="1" customWidth="1"/>
    <col min="1288" max="1288" width="19.77734375" customWidth="1"/>
    <col min="1537" max="1537" width="13.5546875" customWidth="1"/>
    <col min="1538" max="1538" width="16.109375" customWidth="1"/>
    <col min="1539" max="1539" width="21.44140625" customWidth="1"/>
    <col min="1540" max="1540" width="29.6640625" customWidth="1"/>
    <col min="1541" max="1541" width="18" customWidth="1"/>
    <col min="1543" max="1543" width="21.33203125" bestFit="1" customWidth="1"/>
    <col min="1544" max="1544" width="19.77734375" customWidth="1"/>
    <col min="1793" max="1793" width="13.5546875" customWidth="1"/>
    <col min="1794" max="1794" width="16.109375" customWidth="1"/>
    <col min="1795" max="1795" width="21.44140625" customWidth="1"/>
    <col min="1796" max="1796" width="29.6640625" customWidth="1"/>
    <col min="1797" max="1797" width="18" customWidth="1"/>
    <col min="1799" max="1799" width="21.33203125" bestFit="1" customWidth="1"/>
    <col min="1800" max="1800" width="19.77734375" customWidth="1"/>
    <col min="2049" max="2049" width="13.5546875" customWidth="1"/>
    <col min="2050" max="2050" width="16.109375" customWidth="1"/>
    <col min="2051" max="2051" width="21.44140625" customWidth="1"/>
    <col min="2052" max="2052" width="29.6640625" customWidth="1"/>
    <col min="2053" max="2053" width="18" customWidth="1"/>
    <col min="2055" max="2055" width="21.33203125" bestFit="1" customWidth="1"/>
    <col min="2056" max="2056" width="19.77734375" customWidth="1"/>
    <col min="2305" max="2305" width="13.5546875" customWidth="1"/>
    <col min="2306" max="2306" width="16.109375" customWidth="1"/>
    <col min="2307" max="2307" width="21.44140625" customWidth="1"/>
    <col min="2308" max="2308" width="29.6640625" customWidth="1"/>
    <col min="2309" max="2309" width="18" customWidth="1"/>
    <col min="2311" max="2311" width="21.33203125" bestFit="1" customWidth="1"/>
    <col min="2312" max="2312" width="19.77734375" customWidth="1"/>
    <col min="2561" max="2561" width="13.5546875" customWidth="1"/>
    <col min="2562" max="2562" width="16.109375" customWidth="1"/>
    <col min="2563" max="2563" width="21.44140625" customWidth="1"/>
    <col min="2564" max="2564" width="29.6640625" customWidth="1"/>
    <col min="2565" max="2565" width="18" customWidth="1"/>
    <col min="2567" max="2567" width="21.33203125" bestFit="1" customWidth="1"/>
    <col min="2568" max="2568" width="19.77734375" customWidth="1"/>
    <col min="2817" max="2817" width="13.5546875" customWidth="1"/>
    <col min="2818" max="2818" width="16.109375" customWidth="1"/>
    <col min="2819" max="2819" width="21.44140625" customWidth="1"/>
    <col min="2820" max="2820" width="29.6640625" customWidth="1"/>
    <col min="2821" max="2821" width="18" customWidth="1"/>
    <col min="2823" max="2823" width="21.33203125" bestFit="1" customWidth="1"/>
    <col min="2824" max="2824" width="19.77734375" customWidth="1"/>
    <col min="3073" max="3073" width="13.5546875" customWidth="1"/>
    <col min="3074" max="3074" width="16.109375" customWidth="1"/>
    <col min="3075" max="3075" width="21.44140625" customWidth="1"/>
    <col min="3076" max="3076" width="29.6640625" customWidth="1"/>
    <col min="3077" max="3077" width="18" customWidth="1"/>
    <col min="3079" max="3079" width="21.33203125" bestFit="1" customWidth="1"/>
    <col min="3080" max="3080" width="19.77734375" customWidth="1"/>
    <col min="3329" max="3329" width="13.5546875" customWidth="1"/>
    <col min="3330" max="3330" width="16.109375" customWidth="1"/>
    <col min="3331" max="3331" width="21.44140625" customWidth="1"/>
    <col min="3332" max="3332" width="29.6640625" customWidth="1"/>
    <col min="3333" max="3333" width="18" customWidth="1"/>
    <col min="3335" max="3335" width="21.33203125" bestFit="1" customWidth="1"/>
    <col min="3336" max="3336" width="19.77734375" customWidth="1"/>
    <col min="3585" max="3585" width="13.5546875" customWidth="1"/>
    <col min="3586" max="3586" width="16.109375" customWidth="1"/>
    <col min="3587" max="3587" width="21.44140625" customWidth="1"/>
    <col min="3588" max="3588" width="29.6640625" customWidth="1"/>
    <col min="3589" max="3589" width="18" customWidth="1"/>
    <col min="3591" max="3591" width="21.33203125" bestFit="1" customWidth="1"/>
    <col min="3592" max="3592" width="19.77734375" customWidth="1"/>
    <col min="3841" max="3841" width="13.5546875" customWidth="1"/>
    <col min="3842" max="3842" width="16.109375" customWidth="1"/>
    <col min="3843" max="3843" width="21.44140625" customWidth="1"/>
    <col min="3844" max="3844" width="29.6640625" customWidth="1"/>
    <col min="3845" max="3845" width="18" customWidth="1"/>
    <col min="3847" max="3847" width="21.33203125" bestFit="1" customWidth="1"/>
    <col min="3848" max="3848" width="19.77734375" customWidth="1"/>
    <col min="4097" max="4097" width="13.5546875" customWidth="1"/>
    <col min="4098" max="4098" width="16.109375" customWidth="1"/>
    <col min="4099" max="4099" width="21.44140625" customWidth="1"/>
    <col min="4100" max="4100" width="29.6640625" customWidth="1"/>
    <col min="4101" max="4101" width="18" customWidth="1"/>
    <col min="4103" max="4103" width="21.33203125" bestFit="1" customWidth="1"/>
    <col min="4104" max="4104" width="19.77734375" customWidth="1"/>
    <col min="4353" max="4353" width="13.5546875" customWidth="1"/>
    <col min="4354" max="4354" width="16.109375" customWidth="1"/>
    <col min="4355" max="4355" width="21.44140625" customWidth="1"/>
    <col min="4356" max="4356" width="29.6640625" customWidth="1"/>
    <col min="4357" max="4357" width="18" customWidth="1"/>
    <col min="4359" max="4359" width="21.33203125" bestFit="1" customWidth="1"/>
    <col min="4360" max="4360" width="19.77734375" customWidth="1"/>
    <col min="4609" max="4609" width="13.5546875" customWidth="1"/>
    <col min="4610" max="4610" width="16.109375" customWidth="1"/>
    <col min="4611" max="4611" width="21.44140625" customWidth="1"/>
    <col min="4612" max="4612" width="29.6640625" customWidth="1"/>
    <col min="4613" max="4613" width="18" customWidth="1"/>
    <col min="4615" max="4615" width="21.33203125" bestFit="1" customWidth="1"/>
    <col min="4616" max="4616" width="19.77734375" customWidth="1"/>
    <col min="4865" max="4865" width="13.5546875" customWidth="1"/>
    <col min="4866" max="4866" width="16.109375" customWidth="1"/>
    <col min="4867" max="4867" width="21.44140625" customWidth="1"/>
    <col min="4868" max="4868" width="29.6640625" customWidth="1"/>
    <col min="4869" max="4869" width="18" customWidth="1"/>
    <col min="4871" max="4871" width="21.33203125" bestFit="1" customWidth="1"/>
    <col min="4872" max="4872" width="19.77734375" customWidth="1"/>
    <col min="5121" max="5121" width="13.5546875" customWidth="1"/>
    <col min="5122" max="5122" width="16.109375" customWidth="1"/>
    <col min="5123" max="5123" width="21.44140625" customWidth="1"/>
    <col min="5124" max="5124" width="29.6640625" customWidth="1"/>
    <col min="5125" max="5125" width="18" customWidth="1"/>
    <col min="5127" max="5127" width="21.33203125" bestFit="1" customWidth="1"/>
    <col min="5128" max="5128" width="19.77734375" customWidth="1"/>
    <col min="5377" max="5377" width="13.5546875" customWidth="1"/>
    <col min="5378" max="5378" width="16.109375" customWidth="1"/>
    <col min="5379" max="5379" width="21.44140625" customWidth="1"/>
    <col min="5380" max="5380" width="29.6640625" customWidth="1"/>
    <col min="5381" max="5381" width="18" customWidth="1"/>
    <col min="5383" max="5383" width="21.33203125" bestFit="1" customWidth="1"/>
    <col min="5384" max="5384" width="19.77734375" customWidth="1"/>
    <col min="5633" max="5633" width="13.5546875" customWidth="1"/>
    <col min="5634" max="5634" width="16.109375" customWidth="1"/>
    <col min="5635" max="5635" width="21.44140625" customWidth="1"/>
    <col min="5636" max="5636" width="29.6640625" customWidth="1"/>
    <col min="5637" max="5637" width="18" customWidth="1"/>
    <col min="5639" max="5639" width="21.33203125" bestFit="1" customWidth="1"/>
    <col min="5640" max="5640" width="19.77734375" customWidth="1"/>
    <col min="5889" max="5889" width="13.5546875" customWidth="1"/>
    <col min="5890" max="5890" width="16.109375" customWidth="1"/>
    <col min="5891" max="5891" width="21.44140625" customWidth="1"/>
    <col min="5892" max="5892" width="29.6640625" customWidth="1"/>
    <col min="5893" max="5893" width="18" customWidth="1"/>
    <col min="5895" max="5895" width="21.33203125" bestFit="1" customWidth="1"/>
    <col min="5896" max="5896" width="19.77734375" customWidth="1"/>
    <col min="6145" max="6145" width="13.5546875" customWidth="1"/>
    <col min="6146" max="6146" width="16.109375" customWidth="1"/>
    <col min="6147" max="6147" width="21.44140625" customWidth="1"/>
    <col min="6148" max="6148" width="29.6640625" customWidth="1"/>
    <col min="6149" max="6149" width="18" customWidth="1"/>
    <col min="6151" max="6151" width="21.33203125" bestFit="1" customWidth="1"/>
    <col min="6152" max="6152" width="19.77734375" customWidth="1"/>
    <col min="6401" max="6401" width="13.5546875" customWidth="1"/>
    <col min="6402" max="6402" width="16.109375" customWidth="1"/>
    <col min="6403" max="6403" width="21.44140625" customWidth="1"/>
    <col min="6404" max="6404" width="29.6640625" customWidth="1"/>
    <col min="6405" max="6405" width="18" customWidth="1"/>
    <col min="6407" max="6407" width="21.33203125" bestFit="1" customWidth="1"/>
    <col min="6408" max="6408" width="19.77734375" customWidth="1"/>
    <col min="6657" max="6657" width="13.5546875" customWidth="1"/>
    <col min="6658" max="6658" width="16.109375" customWidth="1"/>
    <col min="6659" max="6659" width="21.44140625" customWidth="1"/>
    <col min="6660" max="6660" width="29.6640625" customWidth="1"/>
    <col min="6661" max="6661" width="18" customWidth="1"/>
    <col min="6663" max="6663" width="21.33203125" bestFit="1" customWidth="1"/>
    <col min="6664" max="6664" width="19.77734375" customWidth="1"/>
    <col min="6913" max="6913" width="13.5546875" customWidth="1"/>
    <col min="6914" max="6914" width="16.109375" customWidth="1"/>
    <col min="6915" max="6915" width="21.44140625" customWidth="1"/>
    <col min="6916" max="6916" width="29.6640625" customWidth="1"/>
    <col min="6917" max="6917" width="18" customWidth="1"/>
    <col min="6919" max="6919" width="21.33203125" bestFit="1" customWidth="1"/>
    <col min="6920" max="6920" width="19.77734375" customWidth="1"/>
    <col min="7169" max="7169" width="13.5546875" customWidth="1"/>
    <col min="7170" max="7170" width="16.109375" customWidth="1"/>
    <col min="7171" max="7171" width="21.44140625" customWidth="1"/>
    <col min="7172" max="7172" width="29.6640625" customWidth="1"/>
    <col min="7173" max="7173" width="18" customWidth="1"/>
    <col min="7175" max="7175" width="21.33203125" bestFit="1" customWidth="1"/>
    <col min="7176" max="7176" width="19.77734375" customWidth="1"/>
    <col min="7425" max="7425" width="13.5546875" customWidth="1"/>
    <col min="7426" max="7426" width="16.109375" customWidth="1"/>
    <col min="7427" max="7427" width="21.44140625" customWidth="1"/>
    <col min="7428" max="7428" width="29.6640625" customWidth="1"/>
    <col min="7429" max="7429" width="18" customWidth="1"/>
    <col min="7431" max="7431" width="21.33203125" bestFit="1" customWidth="1"/>
    <col min="7432" max="7432" width="19.77734375" customWidth="1"/>
    <col min="7681" max="7681" width="13.5546875" customWidth="1"/>
    <col min="7682" max="7682" width="16.109375" customWidth="1"/>
    <col min="7683" max="7683" width="21.44140625" customWidth="1"/>
    <col min="7684" max="7684" width="29.6640625" customWidth="1"/>
    <col min="7685" max="7685" width="18" customWidth="1"/>
    <col min="7687" max="7687" width="21.33203125" bestFit="1" customWidth="1"/>
    <col min="7688" max="7688" width="19.77734375" customWidth="1"/>
    <col min="7937" max="7937" width="13.5546875" customWidth="1"/>
    <col min="7938" max="7938" width="16.109375" customWidth="1"/>
    <col min="7939" max="7939" width="21.44140625" customWidth="1"/>
    <col min="7940" max="7940" width="29.6640625" customWidth="1"/>
    <col min="7941" max="7941" width="18" customWidth="1"/>
    <col min="7943" max="7943" width="21.33203125" bestFit="1" customWidth="1"/>
    <col min="7944" max="7944" width="19.77734375" customWidth="1"/>
    <col min="8193" max="8193" width="13.5546875" customWidth="1"/>
    <col min="8194" max="8194" width="16.109375" customWidth="1"/>
    <col min="8195" max="8195" width="21.44140625" customWidth="1"/>
    <col min="8196" max="8196" width="29.6640625" customWidth="1"/>
    <col min="8197" max="8197" width="18" customWidth="1"/>
    <col min="8199" max="8199" width="21.33203125" bestFit="1" customWidth="1"/>
    <col min="8200" max="8200" width="19.77734375" customWidth="1"/>
    <col min="8449" max="8449" width="13.5546875" customWidth="1"/>
    <col min="8450" max="8450" width="16.109375" customWidth="1"/>
    <col min="8451" max="8451" width="21.44140625" customWidth="1"/>
    <col min="8452" max="8452" width="29.6640625" customWidth="1"/>
    <col min="8453" max="8453" width="18" customWidth="1"/>
    <col min="8455" max="8455" width="21.33203125" bestFit="1" customWidth="1"/>
    <col min="8456" max="8456" width="19.77734375" customWidth="1"/>
    <col min="8705" max="8705" width="13.5546875" customWidth="1"/>
    <col min="8706" max="8706" width="16.109375" customWidth="1"/>
    <col min="8707" max="8707" width="21.44140625" customWidth="1"/>
    <col min="8708" max="8708" width="29.6640625" customWidth="1"/>
    <col min="8709" max="8709" width="18" customWidth="1"/>
    <col min="8711" max="8711" width="21.33203125" bestFit="1" customWidth="1"/>
    <col min="8712" max="8712" width="19.77734375" customWidth="1"/>
    <col min="8961" max="8961" width="13.5546875" customWidth="1"/>
    <col min="8962" max="8962" width="16.109375" customWidth="1"/>
    <col min="8963" max="8963" width="21.44140625" customWidth="1"/>
    <col min="8964" max="8964" width="29.6640625" customWidth="1"/>
    <col min="8965" max="8965" width="18" customWidth="1"/>
    <col min="8967" max="8967" width="21.33203125" bestFit="1" customWidth="1"/>
    <col min="8968" max="8968" width="19.77734375" customWidth="1"/>
    <col min="9217" max="9217" width="13.5546875" customWidth="1"/>
    <col min="9218" max="9218" width="16.109375" customWidth="1"/>
    <col min="9219" max="9219" width="21.44140625" customWidth="1"/>
    <col min="9220" max="9220" width="29.6640625" customWidth="1"/>
    <col min="9221" max="9221" width="18" customWidth="1"/>
    <col min="9223" max="9223" width="21.33203125" bestFit="1" customWidth="1"/>
    <col min="9224" max="9224" width="19.77734375" customWidth="1"/>
    <col min="9473" max="9473" width="13.5546875" customWidth="1"/>
    <col min="9474" max="9474" width="16.109375" customWidth="1"/>
    <col min="9475" max="9475" width="21.44140625" customWidth="1"/>
    <col min="9476" max="9476" width="29.6640625" customWidth="1"/>
    <col min="9477" max="9477" width="18" customWidth="1"/>
    <col min="9479" max="9479" width="21.33203125" bestFit="1" customWidth="1"/>
    <col min="9480" max="9480" width="19.77734375" customWidth="1"/>
    <col min="9729" max="9729" width="13.5546875" customWidth="1"/>
    <col min="9730" max="9730" width="16.109375" customWidth="1"/>
    <col min="9731" max="9731" width="21.44140625" customWidth="1"/>
    <col min="9732" max="9732" width="29.6640625" customWidth="1"/>
    <col min="9733" max="9733" width="18" customWidth="1"/>
    <col min="9735" max="9735" width="21.33203125" bestFit="1" customWidth="1"/>
    <col min="9736" max="9736" width="19.77734375" customWidth="1"/>
    <col min="9985" max="9985" width="13.5546875" customWidth="1"/>
    <col min="9986" max="9986" width="16.109375" customWidth="1"/>
    <col min="9987" max="9987" width="21.44140625" customWidth="1"/>
    <col min="9988" max="9988" width="29.6640625" customWidth="1"/>
    <col min="9989" max="9989" width="18" customWidth="1"/>
    <col min="9991" max="9991" width="21.33203125" bestFit="1" customWidth="1"/>
    <col min="9992" max="9992" width="19.77734375" customWidth="1"/>
    <col min="10241" max="10241" width="13.5546875" customWidth="1"/>
    <col min="10242" max="10242" width="16.109375" customWidth="1"/>
    <col min="10243" max="10243" width="21.44140625" customWidth="1"/>
    <col min="10244" max="10244" width="29.6640625" customWidth="1"/>
    <col min="10245" max="10245" width="18" customWidth="1"/>
    <col min="10247" max="10247" width="21.33203125" bestFit="1" customWidth="1"/>
    <col min="10248" max="10248" width="19.77734375" customWidth="1"/>
    <col min="10497" max="10497" width="13.5546875" customWidth="1"/>
    <col min="10498" max="10498" width="16.109375" customWidth="1"/>
    <col min="10499" max="10499" width="21.44140625" customWidth="1"/>
    <col min="10500" max="10500" width="29.6640625" customWidth="1"/>
    <col min="10501" max="10501" width="18" customWidth="1"/>
    <col min="10503" max="10503" width="21.33203125" bestFit="1" customWidth="1"/>
    <col min="10504" max="10504" width="19.77734375" customWidth="1"/>
    <col min="10753" max="10753" width="13.5546875" customWidth="1"/>
    <col min="10754" max="10754" width="16.109375" customWidth="1"/>
    <col min="10755" max="10755" width="21.44140625" customWidth="1"/>
    <col min="10756" max="10756" width="29.6640625" customWidth="1"/>
    <col min="10757" max="10757" width="18" customWidth="1"/>
    <col min="10759" max="10759" width="21.33203125" bestFit="1" customWidth="1"/>
    <col min="10760" max="10760" width="19.77734375" customWidth="1"/>
    <col min="11009" max="11009" width="13.5546875" customWidth="1"/>
    <col min="11010" max="11010" width="16.109375" customWidth="1"/>
    <col min="11011" max="11011" width="21.44140625" customWidth="1"/>
    <col min="11012" max="11012" width="29.6640625" customWidth="1"/>
    <col min="11013" max="11013" width="18" customWidth="1"/>
    <col min="11015" max="11015" width="21.33203125" bestFit="1" customWidth="1"/>
    <col min="11016" max="11016" width="19.77734375" customWidth="1"/>
    <col min="11265" max="11265" width="13.5546875" customWidth="1"/>
    <col min="11266" max="11266" width="16.109375" customWidth="1"/>
    <col min="11267" max="11267" width="21.44140625" customWidth="1"/>
    <col min="11268" max="11268" width="29.6640625" customWidth="1"/>
    <col min="11269" max="11269" width="18" customWidth="1"/>
    <col min="11271" max="11271" width="21.33203125" bestFit="1" customWidth="1"/>
    <col min="11272" max="11272" width="19.77734375" customWidth="1"/>
    <col min="11521" max="11521" width="13.5546875" customWidth="1"/>
    <col min="11522" max="11522" width="16.109375" customWidth="1"/>
    <col min="11523" max="11523" width="21.44140625" customWidth="1"/>
    <col min="11524" max="11524" width="29.6640625" customWidth="1"/>
    <col min="11525" max="11525" width="18" customWidth="1"/>
    <col min="11527" max="11527" width="21.33203125" bestFit="1" customWidth="1"/>
    <col min="11528" max="11528" width="19.77734375" customWidth="1"/>
    <col min="11777" max="11777" width="13.5546875" customWidth="1"/>
    <col min="11778" max="11778" width="16.109375" customWidth="1"/>
    <col min="11779" max="11779" width="21.44140625" customWidth="1"/>
    <col min="11780" max="11780" width="29.6640625" customWidth="1"/>
    <col min="11781" max="11781" width="18" customWidth="1"/>
    <col min="11783" max="11783" width="21.33203125" bestFit="1" customWidth="1"/>
    <col min="11784" max="11784" width="19.77734375" customWidth="1"/>
    <col min="12033" max="12033" width="13.5546875" customWidth="1"/>
    <col min="12034" max="12034" width="16.109375" customWidth="1"/>
    <col min="12035" max="12035" width="21.44140625" customWidth="1"/>
    <col min="12036" max="12036" width="29.6640625" customWidth="1"/>
    <col min="12037" max="12037" width="18" customWidth="1"/>
    <col min="12039" max="12039" width="21.33203125" bestFit="1" customWidth="1"/>
    <col min="12040" max="12040" width="19.77734375" customWidth="1"/>
    <col min="12289" max="12289" width="13.5546875" customWidth="1"/>
    <col min="12290" max="12290" width="16.109375" customWidth="1"/>
    <col min="12291" max="12291" width="21.44140625" customWidth="1"/>
    <col min="12292" max="12292" width="29.6640625" customWidth="1"/>
    <col min="12293" max="12293" width="18" customWidth="1"/>
    <col min="12295" max="12295" width="21.33203125" bestFit="1" customWidth="1"/>
    <col min="12296" max="12296" width="19.77734375" customWidth="1"/>
    <col min="12545" max="12545" width="13.5546875" customWidth="1"/>
    <col min="12546" max="12546" width="16.109375" customWidth="1"/>
    <col min="12547" max="12547" width="21.44140625" customWidth="1"/>
    <col min="12548" max="12548" width="29.6640625" customWidth="1"/>
    <col min="12549" max="12549" width="18" customWidth="1"/>
    <col min="12551" max="12551" width="21.33203125" bestFit="1" customWidth="1"/>
    <col min="12552" max="12552" width="19.77734375" customWidth="1"/>
    <col min="12801" max="12801" width="13.5546875" customWidth="1"/>
    <col min="12802" max="12802" width="16.109375" customWidth="1"/>
    <col min="12803" max="12803" width="21.44140625" customWidth="1"/>
    <col min="12804" max="12804" width="29.6640625" customWidth="1"/>
    <col min="12805" max="12805" width="18" customWidth="1"/>
    <col min="12807" max="12807" width="21.33203125" bestFit="1" customWidth="1"/>
    <col min="12808" max="12808" width="19.77734375" customWidth="1"/>
    <col min="13057" max="13057" width="13.5546875" customWidth="1"/>
    <col min="13058" max="13058" width="16.109375" customWidth="1"/>
    <col min="13059" max="13059" width="21.44140625" customWidth="1"/>
    <col min="13060" max="13060" width="29.6640625" customWidth="1"/>
    <col min="13061" max="13061" width="18" customWidth="1"/>
    <col min="13063" max="13063" width="21.33203125" bestFit="1" customWidth="1"/>
    <col min="13064" max="13064" width="19.77734375" customWidth="1"/>
    <col min="13313" max="13313" width="13.5546875" customWidth="1"/>
    <col min="13314" max="13314" width="16.109375" customWidth="1"/>
    <col min="13315" max="13315" width="21.44140625" customWidth="1"/>
    <col min="13316" max="13316" width="29.6640625" customWidth="1"/>
    <col min="13317" max="13317" width="18" customWidth="1"/>
    <col min="13319" max="13319" width="21.33203125" bestFit="1" customWidth="1"/>
    <col min="13320" max="13320" width="19.77734375" customWidth="1"/>
    <col min="13569" max="13569" width="13.5546875" customWidth="1"/>
    <col min="13570" max="13570" width="16.109375" customWidth="1"/>
    <col min="13571" max="13571" width="21.44140625" customWidth="1"/>
    <col min="13572" max="13572" width="29.6640625" customWidth="1"/>
    <col min="13573" max="13573" width="18" customWidth="1"/>
    <col min="13575" max="13575" width="21.33203125" bestFit="1" customWidth="1"/>
    <col min="13576" max="13576" width="19.77734375" customWidth="1"/>
    <col min="13825" max="13825" width="13.5546875" customWidth="1"/>
    <col min="13826" max="13826" width="16.109375" customWidth="1"/>
    <col min="13827" max="13827" width="21.44140625" customWidth="1"/>
    <col min="13828" max="13828" width="29.6640625" customWidth="1"/>
    <col min="13829" max="13829" width="18" customWidth="1"/>
    <col min="13831" max="13831" width="21.33203125" bestFit="1" customWidth="1"/>
    <col min="13832" max="13832" width="19.77734375" customWidth="1"/>
    <col min="14081" max="14081" width="13.5546875" customWidth="1"/>
    <col min="14082" max="14082" width="16.109375" customWidth="1"/>
    <col min="14083" max="14083" width="21.44140625" customWidth="1"/>
    <col min="14084" max="14084" width="29.6640625" customWidth="1"/>
    <col min="14085" max="14085" width="18" customWidth="1"/>
    <col min="14087" max="14087" width="21.33203125" bestFit="1" customWidth="1"/>
    <col min="14088" max="14088" width="19.77734375" customWidth="1"/>
    <col min="14337" max="14337" width="13.5546875" customWidth="1"/>
    <col min="14338" max="14338" width="16.109375" customWidth="1"/>
    <col min="14339" max="14339" width="21.44140625" customWidth="1"/>
    <col min="14340" max="14340" width="29.6640625" customWidth="1"/>
    <col min="14341" max="14341" width="18" customWidth="1"/>
    <col min="14343" max="14343" width="21.33203125" bestFit="1" customWidth="1"/>
    <col min="14344" max="14344" width="19.77734375" customWidth="1"/>
    <col min="14593" max="14593" width="13.5546875" customWidth="1"/>
    <col min="14594" max="14594" width="16.109375" customWidth="1"/>
    <col min="14595" max="14595" width="21.44140625" customWidth="1"/>
    <col min="14596" max="14596" width="29.6640625" customWidth="1"/>
    <col min="14597" max="14597" width="18" customWidth="1"/>
    <col min="14599" max="14599" width="21.33203125" bestFit="1" customWidth="1"/>
    <col min="14600" max="14600" width="19.77734375" customWidth="1"/>
    <col min="14849" max="14849" width="13.5546875" customWidth="1"/>
    <col min="14850" max="14850" width="16.109375" customWidth="1"/>
    <col min="14851" max="14851" width="21.44140625" customWidth="1"/>
    <col min="14852" max="14852" width="29.6640625" customWidth="1"/>
    <col min="14853" max="14853" width="18" customWidth="1"/>
    <col min="14855" max="14855" width="21.33203125" bestFit="1" customWidth="1"/>
    <col min="14856" max="14856" width="19.77734375" customWidth="1"/>
    <col min="15105" max="15105" width="13.5546875" customWidth="1"/>
    <col min="15106" max="15106" width="16.109375" customWidth="1"/>
    <col min="15107" max="15107" width="21.44140625" customWidth="1"/>
    <col min="15108" max="15108" width="29.6640625" customWidth="1"/>
    <col min="15109" max="15109" width="18" customWidth="1"/>
    <col min="15111" max="15111" width="21.33203125" bestFit="1" customWidth="1"/>
    <col min="15112" max="15112" width="19.77734375" customWidth="1"/>
    <col min="15361" max="15361" width="13.5546875" customWidth="1"/>
    <col min="15362" max="15362" width="16.109375" customWidth="1"/>
    <col min="15363" max="15363" width="21.44140625" customWidth="1"/>
    <col min="15364" max="15364" width="29.6640625" customWidth="1"/>
    <col min="15365" max="15365" width="18" customWidth="1"/>
    <col min="15367" max="15367" width="21.33203125" bestFit="1" customWidth="1"/>
    <col min="15368" max="15368" width="19.77734375" customWidth="1"/>
    <col min="15617" max="15617" width="13.5546875" customWidth="1"/>
    <col min="15618" max="15618" width="16.109375" customWidth="1"/>
    <col min="15619" max="15619" width="21.44140625" customWidth="1"/>
    <col min="15620" max="15620" width="29.6640625" customWidth="1"/>
    <col min="15621" max="15621" width="18" customWidth="1"/>
    <col min="15623" max="15623" width="21.33203125" bestFit="1" customWidth="1"/>
    <col min="15624" max="15624" width="19.77734375" customWidth="1"/>
    <col min="15873" max="15873" width="13.5546875" customWidth="1"/>
    <col min="15874" max="15874" width="16.109375" customWidth="1"/>
    <col min="15875" max="15875" width="21.44140625" customWidth="1"/>
    <col min="15876" max="15876" width="29.6640625" customWidth="1"/>
    <col min="15877" max="15877" width="18" customWidth="1"/>
    <col min="15879" max="15879" width="21.33203125" bestFit="1" customWidth="1"/>
    <col min="15880" max="15880" width="19.77734375" customWidth="1"/>
    <col min="16129" max="16129" width="13.5546875" customWidth="1"/>
    <col min="16130" max="16130" width="16.109375" customWidth="1"/>
    <col min="16131" max="16131" width="21.44140625" customWidth="1"/>
    <col min="16132" max="16132" width="29.6640625" customWidth="1"/>
    <col min="16133" max="16133" width="18" customWidth="1"/>
    <col min="16135" max="16135" width="21.33203125" bestFit="1" customWidth="1"/>
    <col min="16136" max="16136" width="19.77734375" customWidth="1"/>
  </cols>
  <sheetData>
    <row r="1" spans="1:8" ht="21" x14ac:dyDescent="0.4">
      <c r="A1" s="151" t="s">
        <v>357</v>
      </c>
    </row>
    <row r="2" spans="1:8" ht="21.6" thickBot="1" x14ac:dyDescent="0.45">
      <c r="A2" s="151"/>
    </row>
    <row r="3" spans="1:8" ht="25.2" thickBot="1" x14ac:dyDescent="0.45">
      <c r="A3" s="474" t="s">
        <v>359</v>
      </c>
      <c r="B3" s="475"/>
      <c r="C3" s="475"/>
      <c r="D3" s="475"/>
      <c r="E3" s="475"/>
      <c r="F3" s="475"/>
      <c r="G3" s="475"/>
      <c r="H3" s="476"/>
    </row>
    <row r="4" spans="1:8" s="58" customFormat="1" ht="16.2" thickBot="1" x14ac:dyDescent="0.35">
      <c r="A4" s="153"/>
      <c r="B4" s="154"/>
      <c r="C4" s="154"/>
      <c r="D4" s="154"/>
      <c r="E4" s="155"/>
      <c r="F4" s="59"/>
      <c r="G4" s="155"/>
      <c r="H4" s="155"/>
    </row>
    <row r="5" spans="1:8" ht="28.5" customHeight="1" thickBot="1" x14ac:dyDescent="0.45">
      <c r="A5" s="469" t="s">
        <v>358</v>
      </c>
      <c r="B5" s="470"/>
      <c r="C5" s="470"/>
      <c r="D5" s="471"/>
      <c r="E5" s="156"/>
      <c r="F5" s="472"/>
      <c r="G5" s="473"/>
      <c r="H5" s="157"/>
    </row>
    <row r="6" spans="1:8" ht="15" thickBot="1" x14ac:dyDescent="0.35">
      <c r="A6" s="158"/>
      <c r="B6" s="159"/>
      <c r="C6" s="159"/>
      <c r="D6" s="159"/>
      <c r="E6" s="160"/>
      <c r="F6" s="161"/>
      <c r="G6" s="160"/>
      <c r="H6" s="162"/>
    </row>
    <row r="7" spans="1:8" ht="18" thickBot="1" x14ac:dyDescent="0.35">
      <c r="A7" s="466" t="s">
        <v>216</v>
      </c>
      <c r="B7" s="467"/>
      <c r="C7" s="467"/>
      <c r="D7" s="467"/>
      <c r="E7" s="467"/>
      <c r="F7" s="467"/>
      <c r="G7" s="467"/>
      <c r="H7" s="468"/>
    </row>
    <row r="8" spans="1:8" ht="29.4" thickBot="1" x14ac:dyDescent="0.35">
      <c r="A8" s="163" t="s">
        <v>217</v>
      </c>
      <c r="B8" s="164" t="s">
        <v>218</v>
      </c>
      <c r="C8" s="164" t="s">
        <v>219</v>
      </c>
      <c r="D8" s="164" t="s">
        <v>220</v>
      </c>
      <c r="E8" s="164" t="s">
        <v>221</v>
      </c>
      <c r="F8" s="165" t="s">
        <v>222</v>
      </c>
      <c r="G8" s="166" t="s">
        <v>223</v>
      </c>
      <c r="H8" s="167" t="s">
        <v>224</v>
      </c>
    </row>
    <row r="9" spans="1:8" ht="21" x14ac:dyDescent="0.3">
      <c r="A9" s="168" t="s">
        <v>225</v>
      </c>
      <c r="B9" s="169"/>
      <c r="C9" s="169"/>
      <c r="D9" s="169"/>
      <c r="E9" s="170"/>
      <c r="F9" s="171"/>
      <c r="G9" s="172"/>
      <c r="H9" s="172"/>
    </row>
    <row r="10" spans="1:8" ht="20.399999999999999" x14ac:dyDescent="0.3">
      <c r="A10" s="173" t="s">
        <v>226</v>
      </c>
      <c r="B10" s="194" t="s">
        <v>227</v>
      </c>
      <c r="C10" s="201" t="s">
        <v>228</v>
      </c>
      <c r="D10" s="194" t="s">
        <v>229</v>
      </c>
      <c r="E10" s="372" t="s">
        <v>362</v>
      </c>
      <c r="F10" s="174">
        <v>142</v>
      </c>
      <c r="G10" s="175" t="s">
        <v>230</v>
      </c>
      <c r="H10" s="176"/>
    </row>
    <row r="11" spans="1:8" ht="15" thickBot="1" x14ac:dyDescent="0.35">
      <c r="A11" s="177" t="s">
        <v>226</v>
      </c>
      <c r="B11" s="244" t="s">
        <v>231</v>
      </c>
      <c r="C11" s="203" t="s">
        <v>232</v>
      </c>
      <c r="D11" s="433" t="s">
        <v>233</v>
      </c>
      <c r="E11" s="417" t="s">
        <v>234</v>
      </c>
      <c r="F11" s="434">
        <v>6</v>
      </c>
      <c r="G11" s="179" t="s">
        <v>88</v>
      </c>
      <c r="H11" s="180"/>
    </row>
    <row r="12" spans="1:8" x14ac:dyDescent="0.3">
      <c r="A12" s="181" t="s">
        <v>236</v>
      </c>
      <c r="B12" s="182"/>
      <c r="C12" s="182"/>
      <c r="D12" s="182"/>
      <c r="E12" s="183"/>
      <c r="F12" s="184"/>
      <c r="G12" s="185"/>
      <c r="H12" s="186"/>
    </row>
    <row r="13" spans="1:8" x14ac:dyDescent="0.3">
      <c r="A13" s="187" t="s">
        <v>226</v>
      </c>
      <c r="B13" s="188" t="s">
        <v>237</v>
      </c>
      <c r="C13" s="189" t="s">
        <v>238</v>
      </c>
      <c r="D13" s="189" t="s">
        <v>239</v>
      </c>
      <c r="E13" s="190" t="s">
        <v>240</v>
      </c>
      <c r="F13" s="191">
        <v>65</v>
      </c>
      <c r="G13" s="192" t="s">
        <v>241</v>
      </c>
      <c r="H13" s="193"/>
    </row>
    <row r="14" spans="1:8" ht="15" thickBot="1" x14ac:dyDescent="0.35">
      <c r="A14" s="187" t="s">
        <v>226</v>
      </c>
      <c r="B14" s="188" t="s">
        <v>237</v>
      </c>
      <c r="C14" s="194" t="s">
        <v>242</v>
      </c>
      <c r="D14" s="188" t="s">
        <v>243</v>
      </c>
      <c r="E14" s="190" t="s">
        <v>244</v>
      </c>
      <c r="F14" s="191">
        <v>23</v>
      </c>
      <c r="G14" s="192" t="s">
        <v>241</v>
      </c>
      <c r="H14" s="193"/>
    </row>
    <row r="15" spans="1:8" x14ac:dyDescent="0.3">
      <c r="A15" s="195" t="s">
        <v>245</v>
      </c>
      <c r="B15" s="196"/>
      <c r="C15" s="196"/>
      <c r="D15" s="196"/>
      <c r="E15" s="197"/>
      <c r="F15" s="198"/>
      <c r="G15" s="199"/>
      <c r="H15" s="200"/>
    </row>
    <row r="16" spans="1:8" x14ac:dyDescent="0.3">
      <c r="A16" s="187" t="s">
        <v>226</v>
      </c>
      <c r="B16" s="201" t="s">
        <v>246</v>
      </c>
      <c r="C16" s="189" t="s">
        <v>247</v>
      </c>
      <c r="D16" s="189" t="s">
        <v>248</v>
      </c>
      <c r="E16" s="202" t="s">
        <v>249</v>
      </c>
      <c r="F16" s="174">
        <v>42</v>
      </c>
      <c r="G16" s="192" t="s">
        <v>250</v>
      </c>
      <c r="H16" s="193"/>
    </row>
    <row r="17" spans="1:10" ht="15" thickBot="1" x14ac:dyDescent="0.35">
      <c r="A17" s="187" t="s">
        <v>226</v>
      </c>
      <c r="B17" s="203" t="s">
        <v>246</v>
      </c>
      <c r="C17" s="204" t="s">
        <v>251</v>
      </c>
      <c r="D17" s="204" t="s">
        <v>252</v>
      </c>
      <c r="E17" s="205" t="s">
        <v>253</v>
      </c>
      <c r="F17" s="206">
        <v>63</v>
      </c>
      <c r="G17" s="192" t="s">
        <v>250</v>
      </c>
      <c r="H17" s="193"/>
    </row>
    <row r="18" spans="1:10" x14ac:dyDescent="0.3">
      <c r="A18" s="195" t="s">
        <v>254</v>
      </c>
      <c r="B18" s="196"/>
      <c r="C18" s="196"/>
      <c r="D18" s="196"/>
      <c r="E18" s="197"/>
      <c r="F18" s="198"/>
      <c r="G18" s="207"/>
      <c r="H18" s="208"/>
    </row>
    <row r="19" spans="1:10" ht="15" thickBot="1" x14ac:dyDescent="0.35">
      <c r="A19" s="209" t="s">
        <v>226</v>
      </c>
      <c r="B19" s="203" t="s">
        <v>255</v>
      </c>
      <c r="C19" s="204" t="s">
        <v>256</v>
      </c>
      <c r="D19" s="204" t="s">
        <v>257</v>
      </c>
      <c r="E19" s="210" t="s">
        <v>258</v>
      </c>
      <c r="F19" s="206">
        <v>63</v>
      </c>
      <c r="G19" s="211" t="s">
        <v>259</v>
      </c>
      <c r="H19" s="212"/>
    </row>
    <row r="20" spans="1:10" ht="15" thickBot="1" x14ac:dyDescent="0.35">
      <c r="B20" s="213"/>
      <c r="C20" s="214"/>
      <c r="D20" s="214"/>
      <c r="E20" s="215" t="s">
        <v>260</v>
      </c>
      <c r="F20" s="216">
        <f>SUM(F10:F11,F13:F14,F16:F17,F19)</f>
        <v>404</v>
      </c>
      <c r="G20" s="217"/>
      <c r="H20" s="218"/>
    </row>
    <row r="21" spans="1:10" ht="18" thickBot="1" x14ac:dyDescent="0.35">
      <c r="A21" s="466" t="s">
        <v>261</v>
      </c>
      <c r="B21" s="467"/>
      <c r="C21" s="467"/>
      <c r="D21" s="467"/>
      <c r="E21" s="467"/>
      <c r="F21" s="467"/>
      <c r="G21" s="467"/>
      <c r="H21" s="468"/>
    </row>
    <row r="22" spans="1:10" ht="29.4" thickBot="1" x14ac:dyDescent="0.35">
      <c r="A22" s="163" t="s">
        <v>262</v>
      </c>
      <c r="B22" s="164" t="s">
        <v>218</v>
      </c>
      <c r="C22" s="164" t="s">
        <v>219</v>
      </c>
      <c r="D22" s="164" t="s">
        <v>220</v>
      </c>
      <c r="E22" s="164" t="s">
        <v>221</v>
      </c>
      <c r="F22" s="165" t="s">
        <v>222</v>
      </c>
      <c r="G22" s="166" t="s">
        <v>223</v>
      </c>
      <c r="H22" s="167" t="s">
        <v>224</v>
      </c>
    </row>
    <row r="23" spans="1:10" ht="21" x14ac:dyDescent="0.3">
      <c r="A23" s="168" t="s">
        <v>225</v>
      </c>
      <c r="B23" s="169"/>
      <c r="C23" s="169"/>
      <c r="D23" s="169"/>
      <c r="E23" s="170"/>
      <c r="F23" s="219"/>
      <c r="G23" s="172"/>
      <c r="H23" s="172"/>
    </row>
    <row r="24" spans="1:10" x14ac:dyDescent="0.3">
      <c r="A24" s="220" t="s">
        <v>226</v>
      </c>
      <c r="B24" s="221" t="s">
        <v>263</v>
      </c>
      <c r="C24" s="222" t="s">
        <v>264</v>
      </c>
      <c r="D24" s="222" t="s">
        <v>265</v>
      </c>
      <c r="E24" s="223" t="s">
        <v>363</v>
      </c>
      <c r="F24" s="224">
        <v>28</v>
      </c>
      <c r="G24" s="225" t="s">
        <v>266</v>
      </c>
      <c r="H24" s="176"/>
    </row>
    <row r="25" spans="1:10" s="230" customFormat="1" ht="20.399999999999999" x14ac:dyDescent="0.3">
      <c r="A25" s="226" t="s">
        <v>226</v>
      </c>
      <c r="B25" s="189" t="s">
        <v>267</v>
      </c>
      <c r="C25" s="194" t="s">
        <v>268</v>
      </c>
      <c r="D25" s="227" t="s">
        <v>269</v>
      </c>
      <c r="E25" s="372" t="s">
        <v>364</v>
      </c>
      <c r="F25" s="228">
        <v>6</v>
      </c>
      <c r="G25" s="192" t="s">
        <v>375</v>
      </c>
      <c r="H25" s="175"/>
      <c r="I25" s="229"/>
    </row>
    <row r="26" spans="1:10" ht="15" thickBot="1" x14ac:dyDescent="0.35">
      <c r="A26" s="187" t="s">
        <v>226</v>
      </c>
      <c r="B26" s="231"/>
      <c r="C26" s="231"/>
      <c r="D26" s="232"/>
      <c r="E26" s="233"/>
      <c r="F26" s="234"/>
      <c r="G26" s="235"/>
      <c r="H26" s="236"/>
    </row>
    <row r="27" spans="1:10" x14ac:dyDescent="0.3">
      <c r="A27" s="195" t="s">
        <v>236</v>
      </c>
      <c r="B27" s="196"/>
      <c r="C27" s="196"/>
      <c r="D27" s="196"/>
      <c r="E27" s="237"/>
      <c r="F27" s="238"/>
      <c r="G27" s="239"/>
      <c r="H27" s="240"/>
    </row>
    <row r="28" spans="1:10" x14ac:dyDescent="0.3">
      <c r="A28" s="187" t="s">
        <v>226</v>
      </c>
      <c r="B28" s="188" t="s">
        <v>270</v>
      </c>
      <c r="C28" s="194" t="s">
        <v>350</v>
      </c>
      <c r="D28" s="188" t="s">
        <v>351</v>
      </c>
      <c r="E28" s="190" t="s">
        <v>352</v>
      </c>
      <c r="F28" s="442">
        <v>12</v>
      </c>
      <c r="G28" s="192" t="s">
        <v>241</v>
      </c>
      <c r="H28" s="193"/>
      <c r="J28" s="241"/>
    </row>
    <row r="29" spans="1:10" ht="15" thickBot="1" x14ac:dyDescent="0.35">
      <c r="A29" s="242" t="s">
        <v>226</v>
      </c>
      <c r="B29" s="243" t="s">
        <v>270</v>
      </c>
      <c r="C29" s="244" t="s">
        <v>353</v>
      </c>
      <c r="D29" s="243" t="s">
        <v>354</v>
      </c>
      <c r="E29" s="245" t="s">
        <v>365</v>
      </c>
      <c r="F29" s="445">
        <v>0</v>
      </c>
      <c r="G29" s="246" t="s">
        <v>75</v>
      </c>
      <c r="H29" s="193"/>
    </row>
    <row r="30" spans="1:10" x14ac:dyDescent="0.3">
      <c r="A30" s="195" t="s">
        <v>245</v>
      </c>
      <c r="B30" s="196"/>
      <c r="C30" s="247"/>
      <c r="D30" s="196"/>
      <c r="E30" s="237"/>
      <c r="F30" s="248"/>
      <c r="G30" s="199"/>
      <c r="H30" s="200"/>
    </row>
    <row r="31" spans="1:10" x14ac:dyDescent="0.3">
      <c r="A31" s="187" t="s">
        <v>226</v>
      </c>
      <c r="B31" s="249" t="s">
        <v>273</v>
      </c>
      <c r="C31" s="249" t="s">
        <v>274</v>
      </c>
      <c r="D31" s="249" t="s">
        <v>275</v>
      </c>
      <c r="E31" s="202" t="s">
        <v>276</v>
      </c>
      <c r="F31" s="442">
        <v>31</v>
      </c>
      <c r="G31" s="192" t="s">
        <v>250</v>
      </c>
      <c r="H31" s="193"/>
    </row>
    <row r="32" spans="1:10" ht="21" thickBot="1" x14ac:dyDescent="0.35">
      <c r="A32" s="242" t="s">
        <v>226</v>
      </c>
      <c r="B32" s="249" t="s">
        <v>273</v>
      </c>
      <c r="C32" s="201" t="s">
        <v>277</v>
      </c>
      <c r="D32" s="249" t="s">
        <v>278</v>
      </c>
      <c r="E32" s="202" t="s">
        <v>279</v>
      </c>
      <c r="F32" s="250">
        <v>33</v>
      </c>
      <c r="G32" s="251" t="s">
        <v>250</v>
      </c>
      <c r="H32" s="251" t="s">
        <v>280</v>
      </c>
    </row>
    <row r="33" spans="1:8" x14ac:dyDescent="0.3">
      <c r="A33" s="195" t="s">
        <v>254</v>
      </c>
      <c r="B33" s="196"/>
      <c r="C33" s="196"/>
      <c r="D33" s="196"/>
      <c r="E33" s="237"/>
      <c r="F33" s="252"/>
      <c r="G33" s="239"/>
      <c r="H33" s="208"/>
    </row>
    <row r="34" spans="1:8" x14ac:dyDescent="0.3">
      <c r="A34" s="187" t="s">
        <v>226</v>
      </c>
      <c r="B34" s="194" t="s">
        <v>281</v>
      </c>
      <c r="C34" s="194" t="s">
        <v>282</v>
      </c>
      <c r="D34" s="194" t="s">
        <v>283</v>
      </c>
      <c r="E34" s="202" t="s">
        <v>284</v>
      </c>
      <c r="F34" s="442">
        <v>34</v>
      </c>
      <c r="G34" s="253" t="s">
        <v>259</v>
      </c>
      <c r="H34" s="435"/>
    </row>
    <row r="35" spans="1:8" ht="18.600000000000001" customHeight="1" thickBot="1" x14ac:dyDescent="0.35">
      <c r="A35" s="254" t="s">
        <v>226</v>
      </c>
      <c r="B35" s="244" t="s">
        <v>281</v>
      </c>
      <c r="C35" s="244" t="s">
        <v>285</v>
      </c>
      <c r="D35" s="244" t="s">
        <v>286</v>
      </c>
      <c r="E35" s="202" t="s">
        <v>366</v>
      </c>
      <c r="F35" s="443">
        <v>40</v>
      </c>
      <c r="G35" s="255" t="s">
        <v>287</v>
      </c>
      <c r="H35" s="251"/>
    </row>
    <row r="36" spans="1:8" ht="15" thickBot="1" x14ac:dyDescent="0.35">
      <c r="A36" s="256"/>
      <c r="B36" s="213"/>
      <c r="C36" s="214"/>
      <c r="D36" s="214"/>
      <c r="E36" s="257" t="s">
        <v>260</v>
      </c>
      <c r="F36" s="258">
        <f>F24+F25+F28+F31+F32+F34+F35</f>
        <v>184</v>
      </c>
      <c r="G36" s="259"/>
      <c r="H36" s="260"/>
    </row>
    <row r="37" spans="1:8" ht="15" thickBot="1" x14ac:dyDescent="0.35">
      <c r="A37" s="261"/>
      <c r="B37" s="262"/>
      <c r="C37" s="262"/>
      <c r="D37" s="262"/>
      <c r="E37" s="262"/>
      <c r="F37" s="263"/>
      <c r="G37" s="262"/>
      <c r="H37" s="264"/>
    </row>
    <row r="38" spans="1:8" ht="15" thickBot="1" x14ac:dyDescent="0.35">
      <c r="A38" s="265"/>
      <c r="B38" s="266"/>
      <c r="C38" s="266"/>
      <c r="D38" s="266"/>
      <c r="E38" s="266"/>
      <c r="F38" s="267"/>
      <c r="G38" s="266"/>
      <c r="H38" s="268"/>
    </row>
    <row r="39" spans="1:8" ht="40.950000000000003" customHeight="1" thickBot="1" x14ac:dyDescent="0.35">
      <c r="A39" s="477" t="s">
        <v>360</v>
      </c>
      <c r="B39" s="478"/>
      <c r="C39" s="478"/>
      <c r="D39" s="478"/>
      <c r="E39" s="269"/>
      <c r="F39" s="479"/>
      <c r="G39" s="479"/>
      <c r="H39" s="157"/>
    </row>
    <row r="40" spans="1:8" ht="15" thickBot="1" x14ac:dyDescent="0.35">
      <c r="A40" s="158"/>
      <c r="B40" s="159"/>
      <c r="C40" s="159"/>
      <c r="D40" s="159"/>
      <c r="E40" s="159"/>
      <c r="F40" s="270"/>
      <c r="G40" s="159"/>
      <c r="H40" s="271"/>
    </row>
    <row r="41" spans="1:8" ht="18" thickBot="1" x14ac:dyDescent="0.35">
      <c r="A41" s="466" t="s">
        <v>216</v>
      </c>
      <c r="B41" s="467"/>
      <c r="C41" s="467"/>
      <c r="D41" s="467"/>
      <c r="E41" s="467"/>
      <c r="F41" s="467"/>
      <c r="G41" s="467"/>
      <c r="H41" s="468"/>
    </row>
    <row r="42" spans="1:8" ht="29.4" thickBot="1" x14ac:dyDescent="0.35">
      <c r="A42" s="163" t="s">
        <v>262</v>
      </c>
      <c r="B42" s="164" t="s">
        <v>218</v>
      </c>
      <c r="C42" s="164" t="s">
        <v>219</v>
      </c>
      <c r="D42" s="164" t="s">
        <v>220</v>
      </c>
      <c r="E42" s="272" t="s">
        <v>221</v>
      </c>
      <c r="F42" s="273" t="s">
        <v>222</v>
      </c>
      <c r="G42" s="274" t="s">
        <v>223</v>
      </c>
      <c r="H42" s="167" t="s">
        <v>224</v>
      </c>
    </row>
    <row r="43" spans="1:8" ht="21" x14ac:dyDescent="0.3">
      <c r="A43" s="168" t="s">
        <v>225</v>
      </c>
      <c r="B43" s="169"/>
      <c r="C43" s="169"/>
      <c r="D43" s="169"/>
      <c r="E43" s="170"/>
      <c r="F43" s="275"/>
      <c r="G43" s="276"/>
      <c r="H43" s="277"/>
    </row>
    <row r="44" spans="1:8" x14ac:dyDescent="0.3">
      <c r="A44" s="278" t="s">
        <v>288</v>
      </c>
      <c r="B44" s="279" t="s">
        <v>227</v>
      </c>
      <c r="C44" s="279" t="s">
        <v>289</v>
      </c>
      <c r="D44" s="279" t="s">
        <v>290</v>
      </c>
      <c r="E44" s="280" t="s">
        <v>363</v>
      </c>
      <c r="F44" s="281">
        <v>156</v>
      </c>
      <c r="G44" s="282" t="s">
        <v>230</v>
      </c>
      <c r="H44" s="283"/>
    </row>
    <row r="45" spans="1:8" ht="15" thickBot="1" x14ac:dyDescent="0.35">
      <c r="A45" s="284" t="s">
        <v>288</v>
      </c>
      <c r="B45" s="285" t="s">
        <v>231</v>
      </c>
      <c r="C45" s="286" t="s">
        <v>291</v>
      </c>
      <c r="D45" s="286" t="s">
        <v>292</v>
      </c>
      <c r="E45" s="287" t="s">
        <v>293</v>
      </c>
      <c r="F45" s="436">
        <v>9</v>
      </c>
      <c r="G45" s="437" t="s">
        <v>88</v>
      </c>
      <c r="H45" s="288"/>
    </row>
    <row r="46" spans="1:8" x14ac:dyDescent="0.3">
      <c r="A46" s="289" t="s">
        <v>236</v>
      </c>
      <c r="B46" s="196"/>
      <c r="C46" s="247"/>
      <c r="D46" s="247"/>
      <c r="E46" s="290"/>
      <c r="F46" s="291"/>
      <c r="G46" s="292"/>
      <c r="H46" s="293"/>
    </row>
    <row r="47" spans="1:8" ht="20.399999999999999" x14ac:dyDescent="0.3">
      <c r="A47" s="294" t="s">
        <v>288</v>
      </c>
      <c r="B47" s="279" t="s">
        <v>237</v>
      </c>
      <c r="C47" s="295" t="s">
        <v>294</v>
      </c>
      <c r="D47" s="295" t="s">
        <v>295</v>
      </c>
      <c r="E47" s="296" t="s">
        <v>367</v>
      </c>
      <c r="F47" s="438">
        <v>72</v>
      </c>
      <c r="G47" s="314" t="s">
        <v>250</v>
      </c>
      <c r="H47" s="175" t="s">
        <v>280</v>
      </c>
    </row>
    <row r="48" spans="1:8" x14ac:dyDescent="0.3">
      <c r="A48" s="297" t="s">
        <v>288</v>
      </c>
      <c r="B48" s="298" t="s">
        <v>237</v>
      </c>
      <c r="C48" s="299" t="s">
        <v>296</v>
      </c>
      <c r="D48" s="299" t="s">
        <v>297</v>
      </c>
      <c r="E48" s="300" t="s">
        <v>365</v>
      </c>
      <c r="F48" s="447">
        <v>0</v>
      </c>
      <c r="G48" s="314" t="s">
        <v>250</v>
      </c>
      <c r="H48" s="301"/>
    </row>
    <row r="49" spans="1:8" ht="15" thickBot="1" x14ac:dyDescent="0.35">
      <c r="A49" s="302" t="s">
        <v>288</v>
      </c>
      <c r="B49" s="285" t="s">
        <v>237</v>
      </c>
      <c r="C49" s="303" t="s">
        <v>298</v>
      </c>
      <c r="D49" s="303" t="s">
        <v>299</v>
      </c>
      <c r="E49" s="304" t="s">
        <v>300</v>
      </c>
      <c r="F49" s="436">
        <v>37</v>
      </c>
      <c r="G49" s="305" t="s">
        <v>250</v>
      </c>
      <c r="H49" s="306"/>
    </row>
    <row r="50" spans="1:8" x14ac:dyDescent="0.3">
      <c r="A50" s="307" t="s">
        <v>245</v>
      </c>
      <c r="B50" s="308"/>
      <c r="C50" s="309"/>
      <c r="D50" s="309"/>
      <c r="E50" s="310"/>
      <c r="F50" s="311"/>
      <c r="G50" s="312"/>
      <c r="H50" s="313"/>
    </row>
    <row r="51" spans="1:8" ht="20.399999999999999" x14ac:dyDescent="0.3">
      <c r="A51" s="294" t="s">
        <v>288</v>
      </c>
      <c r="B51" s="201" t="s">
        <v>246</v>
      </c>
      <c r="C51" s="221" t="s">
        <v>301</v>
      </c>
      <c r="D51" s="295" t="s">
        <v>302</v>
      </c>
      <c r="E51" s="223" t="s">
        <v>303</v>
      </c>
      <c r="F51" s="438">
        <v>58</v>
      </c>
      <c r="G51" s="314" t="s">
        <v>241</v>
      </c>
      <c r="H51" s="315"/>
    </row>
    <row r="52" spans="1:8" ht="15" thickBot="1" x14ac:dyDescent="0.35">
      <c r="A52" s="316" t="s">
        <v>288</v>
      </c>
      <c r="B52" s="317" t="s">
        <v>246</v>
      </c>
      <c r="C52" s="318" t="s">
        <v>304</v>
      </c>
      <c r="D52" s="319" t="s">
        <v>305</v>
      </c>
      <c r="E52" s="320" t="s">
        <v>306</v>
      </c>
      <c r="F52" s="321">
        <v>55</v>
      </c>
      <c r="G52" s="322" t="s">
        <v>241</v>
      </c>
      <c r="H52" s="301"/>
    </row>
    <row r="53" spans="1:8" x14ac:dyDescent="0.3">
      <c r="A53" s="195" t="s">
        <v>254</v>
      </c>
      <c r="B53" s="196"/>
      <c r="C53" s="196"/>
      <c r="D53" s="196"/>
      <c r="E53" s="323"/>
      <c r="F53" s="324"/>
      <c r="G53" s="325"/>
      <c r="H53" s="326"/>
    </row>
    <row r="54" spans="1:8" ht="15" thickBot="1" x14ac:dyDescent="0.35">
      <c r="A54" s="302" t="s">
        <v>288</v>
      </c>
      <c r="B54" s="327" t="s">
        <v>255</v>
      </c>
      <c r="C54" s="286" t="s">
        <v>307</v>
      </c>
      <c r="D54" s="286" t="s">
        <v>308</v>
      </c>
      <c r="E54" s="328" t="s">
        <v>309</v>
      </c>
      <c r="F54" s="439">
        <v>82</v>
      </c>
      <c r="G54" s="329" t="s">
        <v>259</v>
      </c>
      <c r="H54" s="330"/>
    </row>
    <row r="55" spans="1:8" ht="15" thickBot="1" x14ac:dyDescent="0.35">
      <c r="A55" s="256"/>
      <c r="B55" s="213"/>
      <c r="C55" s="214"/>
      <c r="D55" s="214"/>
      <c r="E55" s="215" t="s">
        <v>260</v>
      </c>
      <c r="F55" s="216">
        <f>F44+F45+F47+F48+F49+F51+F52+F54</f>
        <v>469</v>
      </c>
      <c r="G55" s="217"/>
      <c r="H55" s="260"/>
    </row>
    <row r="56" spans="1:8" ht="18" thickBot="1" x14ac:dyDescent="0.35">
      <c r="A56" s="466" t="s">
        <v>261</v>
      </c>
      <c r="B56" s="467"/>
      <c r="C56" s="467"/>
      <c r="D56" s="467"/>
      <c r="E56" s="467"/>
      <c r="F56" s="467"/>
      <c r="G56" s="467"/>
      <c r="H56" s="468"/>
    </row>
    <row r="57" spans="1:8" ht="29.4" thickBot="1" x14ac:dyDescent="0.35">
      <c r="A57" s="331" t="s">
        <v>262</v>
      </c>
      <c r="B57" s="332" t="s">
        <v>218</v>
      </c>
      <c r="C57" s="332" t="s">
        <v>219</v>
      </c>
      <c r="D57" s="332" t="s">
        <v>220</v>
      </c>
      <c r="E57" s="332" t="s">
        <v>221</v>
      </c>
      <c r="F57" s="333" t="s">
        <v>222</v>
      </c>
      <c r="G57" s="334" t="s">
        <v>223</v>
      </c>
      <c r="H57" s="167" t="s">
        <v>224</v>
      </c>
    </row>
    <row r="58" spans="1:8" ht="21" x14ac:dyDescent="0.3">
      <c r="A58" s="168" t="s">
        <v>225</v>
      </c>
      <c r="B58" s="325"/>
      <c r="C58" s="325"/>
      <c r="D58" s="325"/>
      <c r="E58" s="335"/>
      <c r="F58" s="219"/>
      <c r="G58" s="172"/>
      <c r="H58" s="172"/>
    </row>
    <row r="59" spans="1:8" x14ac:dyDescent="0.3">
      <c r="A59" s="187" t="s">
        <v>288</v>
      </c>
      <c r="B59" s="189" t="s">
        <v>310</v>
      </c>
      <c r="C59" s="227" t="s">
        <v>311</v>
      </c>
      <c r="D59" s="227" t="s">
        <v>312</v>
      </c>
      <c r="E59" s="202" t="s">
        <v>363</v>
      </c>
      <c r="F59" s="446">
        <v>0</v>
      </c>
      <c r="G59" s="336" t="s">
        <v>235</v>
      </c>
      <c r="H59" s="175"/>
    </row>
    <row r="60" spans="1:8" x14ac:dyDescent="0.3">
      <c r="A60" s="294" t="s">
        <v>288</v>
      </c>
      <c r="B60" s="189" t="s">
        <v>263</v>
      </c>
      <c r="C60" s="227" t="s">
        <v>313</v>
      </c>
      <c r="D60" s="227" t="s">
        <v>314</v>
      </c>
      <c r="E60" s="373" t="s">
        <v>368</v>
      </c>
      <c r="F60" s="337">
        <v>31</v>
      </c>
      <c r="G60" s="225" t="s">
        <v>235</v>
      </c>
      <c r="H60" s="175"/>
    </row>
    <row r="61" spans="1:8" ht="31.2" thickBot="1" x14ac:dyDescent="0.35">
      <c r="A61" s="209" t="s">
        <v>288</v>
      </c>
      <c r="B61" s="204" t="s">
        <v>267</v>
      </c>
      <c r="C61" s="204" t="s">
        <v>315</v>
      </c>
      <c r="D61" s="204" t="s">
        <v>316</v>
      </c>
      <c r="E61" s="372" t="s">
        <v>369</v>
      </c>
      <c r="F61" s="338">
        <v>24</v>
      </c>
      <c r="G61" s="339" t="s">
        <v>235</v>
      </c>
      <c r="H61" s="251" t="s">
        <v>280</v>
      </c>
    </row>
    <row r="62" spans="1:8" s="160" customFormat="1" x14ac:dyDescent="0.25">
      <c r="A62" s="307" t="s">
        <v>236</v>
      </c>
      <c r="B62" s="182"/>
      <c r="C62" s="182"/>
      <c r="D62" s="182"/>
      <c r="E62" s="340"/>
      <c r="F62" s="341"/>
      <c r="G62" s="185"/>
      <c r="H62" s="342"/>
    </row>
    <row r="63" spans="1:8" x14ac:dyDescent="0.3">
      <c r="A63" s="187" t="s">
        <v>288</v>
      </c>
      <c r="B63" s="279" t="s">
        <v>270</v>
      </c>
      <c r="C63" s="221" t="s">
        <v>317</v>
      </c>
      <c r="D63" s="279" t="s">
        <v>318</v>
      </c>
      <c r="E63" s="223" t="s">
        <v>214</v>
      </c>
      <c r="F63" s="337">
        <v>15</v>
      </c>
      <c r="G63" s="175" t="s">
        <v>375</v>
      </c>
      <c r="H63" s="343"/>
    </row>
    <row r="64" spans="1:8" ht="15" thickBot="1" x14ac:dyDescent="0.35">
      <c r="A64" s="209" t="s">
        <v>288</v>
      </c>
      <c r="B64" s="427"/>
      <c r="C64" s="428"/>
      <c r="D64" s="427"/>
      <c r="E64" s="430"/>
      <c r="F64" s="429"/>
      <c r="G64" s="426"/>
      <c r="H64" s="344"/>
    </row>
    <row r="65" spans="1:9" x14ac:dyDescent="0.3">
      <c r="A65" s="289" t="s">
        <v>245</v>
      </c>
      <c r="B65" s="345"/>
      <c r="C65" s="196"/>
      <c r="D65" s="196"/>
      <c r="E65" s="237"/>
      <c r="F65" s="346"/>
      <c r="G65" s="347"/>
      <c r="H65" s="172"/>
    </row>
    <row r="66" spans="1:9" ht="15" thickBot="1" x14ac:dyDescent="0.35">
      <c r="A66" s="348" t="s">
        <v>288</v>
      </c>
      <c r="B66" s="349" t="s">
        <v>273</v>
      </c>
      <c r="C66" s="350" t="s">
        <v>319</v>
      </c>
      <c r="D66" s="350" t="s">
        <v>320</v>
      </c>
      <c r="E66" s="351" t="s">
        <v>321</v>
      </c>
      <c r="F66" s="440">
        <v>29</v>
      </c>
      <c r="G66" s="352" t="s">
        <v>241</v>
      </c>
      <c r="H66" s="192" t="s">
        <v>280</v>
      </c>
    </row>
    <row r="67" spans="1:9" x14ac:dyDescent="0.3">
      <c r="A67" s="289" t="s">
        <v>254</v>
      </c>
      <c r="B67" s="196"/>
      <c r="C67" s="196"/>
      <c r="D67" s="196"/>
      <c r="E67" s="237"/>
      <c r="F67" s="353"/>
      <c r="G67" s="239"/>
      <c r="H67" s="354"/>
    </row>
    <row r="68" spans="1:9" x14ac:dyDescent="0.3">
      <c r="A68" s="294" t="s">
        <v>288</v>
      </c>
      <c r="B68" s="295" t="s">
        <v>281</v>
      </c>
      <c r="C68" s="355" t="s">
        <v>322</v>
      </c>
      <c r="D68" s="221" t="s">
        <v>323</v>
      </c>
      <c r="E68" s="223" t="s">
        <v>370</v>
      </c>
      <c r="F68" s="356" t="s">
        <v>373</v>
      </c>
      <c r="G68" s="357" t="s">
        <v>259</v>
      </c>
      <c r="H68" s="175"/>
    </row>
    <row r="69" spans="1:9" ht="15" thickBot="1" x14ac:dyDescent="0.35">
      <c r="A69" s="302" t="s">
        <v>288</v>
      </c>
      <c r="B69" s="286"/>
      <c r="C69" s="303"/>
      <c r="D69" s="286"/>
      <c r="E69" s="245"/>
      <c r="F69" s="358"/>
      <c r="G69" s="251"/>
      <c r="H69" s="359"/>
    </row>
    <row r="70" spans="1:9" ht="15" thickBot="1" x14ac:dyDescent="0.35">
      <c r="A70" s="256"/>
      <c r="B70" s="213"/>
      <c r="C70" s="214"/>
      <c r="D70" s="214"/>
      <c r="E70" s="257" t="s">
        <v>260</v>
      </c>
      <c r="F70" s="360">
        <f>SUM(F59:F61,F63:F64,F66,F68:F69)</f>
        <v>99</v>
      </c>
      <c r="G70" s="217"/>
      <c r="H70" s="260"/>
    </row>
    <row r="71" spans="1:9" ht="15" thickBot="1" x14ac:dyDescent="0.35">
      <c r="A71" s="261"/>
      <c r="B71" s="262"/>
      <c r="C71" s="262"/>
      <c r="D71" s="262"/>
      <c r="E71" s="262"/>
      <c r="F71" s="263"/>
      <c r="G71" s="262"/>
      <c r="H71" s="264"/>
    </row>
    <row r="72" spans="1:9" ht="15" thickBot="1" x14ac:dyDescent="0.35">
      <c r="A72" s="361"/>
      <c r="B72" s="362"/>
      <c r="C72" s="363"/>
      <c r="D72" s="363"/>
      <c r="E72" s="363"/>
      <c r="F72" s="364"/>
      <c r="G72" s="365"/>
      <c r="H72" s="366"/>
    </row>
    <row r="73" spans="1:9" ht="26.55" customHeight="1" thickBot="1" x14ac:dyDescent="0.35">
      <c r="A73" s="469" t="s">
        <v>361</v>
      </c>
      <c r="B73" s="470"/>
      <c r="C73" s="470"/>
      <c r="D73" s="471"/>
      <c r="E73" s="269"/>
      <c r="F73" s="472"/>
      <c r="G73" s="473"/>
      <c r="H73" s="367"/>
      <c r="I73" s="368"/>
    </row>
    <row r="74" spans="1:9" ht="21.6" thickBot="1" x14ac:dyDescent="0.45">
      <c r="A74" s="369"/>
      <c r="H74" s="370"/>
      <c r="I74" s="152"/>
    </row>
    <row r="75" spans="1:9" ht="18" thickBot="1" x14ac:dyDescent="0.35">
      <c r="A75" s="466" t="s">
        <v>216</v>
      </c>
      <c r="B75" s="467"/>
      <c r="C75" s="467"/>
      <c r="D75" s="467"/>
      <c r="E75" s="467"/>
      <c r="F75" s="467"/>
      <c r="G75" s="467"/>
      <c r="H75" s="468"/>
    </row>
    <row r="76" spans="1:9" ht="29.4" thickBot="1" x14ac:dyDescent="0.35">
      <c r="A76" s="163" t="s">
        <v>262</v>
      </c>
      <c r="B76" s="164" t="s">
        <v>218</v>
      </c>
      <c r="C76" s="164" t="s">
        <v>219</v>
      </c>
      <c r="D76" s="164" t="s">
        <v>220</v>
      </c>
      <c r="E76" s="164" t="s">
        <v>221</v>
      </c>
      <c r="F76" s="165" t="s">
        <v>222</v>
      </c>
      <c r="G76" s="166" t="s">
        <v>223</v>
      </c>
      <c r="H76" s="167" t="s">
        <v>224</v>
      </c>
    </row>
    <row r="77" spans="1:9" ht="21" x14ac:dyDescent="0.3">
      <c r="A77" s="168" t="s">
        <v>225</v>
      </c>
      <c r="B77" s="169"/>
      <c r="C77" s="169"/>
      <c r="D77" s="169"/>
      <c r="E77" s="170"/>
      <c r="F77" s="171"/>
      <c r="G77" s="172"/>
      <c r="H77" s="371"/>
    </row>
    <row r="78" spans="1:9" ht="20.399999999999999" x14ac:dyDescent="0.3">
      <c r="A78" s="187" t="s">
        <v>324</v>
      </c>
      <c r="B78" s="188" t="s">
        <v>227</v>
      </c>
      <c r="C78" s="188" t="s">
        <v>325</v>
      </c>
      <c r="D78" s="189" t="s">
        <v>326</v>
      </c>
      <c r="E78" s="372" t="s">
        <v>371</v>
      </c>
      <c r="F78" s="191">
        <v>166</v>
      </c>
      <c r="G78" s="336" t="s">
        <v>250</v>
      </c>
      <c r="H78" s="314"/>
    </row>
    <row r="79" spans="1:9" x14ac:dyDescent="0.3">
      <c r="A79" s="187" t="s">
        <v>324</v>
      </c>
      <c r="B79" s="194" t="s">
        <v>231</v>
      </c>
      <c r="C79" s="227" t="s">
        <v>327</v>
      </c>
      <c r="D79" s="201" t="s">
        <v>328</v>
      </c>
      <c r="E79" s="373" t="s">
        <v>329</v>
      </c>
      <c r="F79" s="191">
        <v>7</v>
      </c>
      <c r="G79" s="336" t="s">
        <v>250</v>
      </c>
      <c r="H79" s="314" t="s">
        <v>280</v>
      </c>
    </row>
    <row r="80" spans="1:9" ht="30.6" x14ac:dyDescent="0.3">
      <c r="A80" s="278" t="s">
        <v>324</v>
      </c>
      <c r="B80" s="188" t="s">
        <v>227</v>
      </c>
      <c r="C80" s="188" t="s">
        <v>330</v>
      </c>
      <c r="D80" s="189" t="s">
        <v>331</v>
      </c>
      <c r="E80" s="372" t="s">
        <v>372</v>
      </c>
      <c r="F80" s="191">
        <v>96</v>
      </c>
      <c r="G80" s="175" t="s">
        <v>376</v>
      </c>
      <c r="H80" s="374"/>
    </row>
    <row r="81" spans="1:8" ht="13.8" customHeight="1" thickBot="1" x14ac:dyDescent="0.35">
      <c r="A81" s="209" t="s">
        <v>324</v>
      </c>
      <c r="B81" s="285" t="s">
        <v>231</v>
      </c>
      <c r="C81" s="303" t="s">
        <v>332</v>
      </c>
      <c r="D81" s="303" t="s">
        <v>333</v>
      </c>
      <c r="E81" s="245" t="s">
        <v>329</v>
      </c>
      <c r="F81" s="375">
        <v>9</v>
      </c>
      <c r="G81" s="251" t="s">
        <v>250</v>
      </c>
      <c r="H81" s="376" t="s">
        <v>280</v>
      </c>
    </row>
    <row r="82" spans="1:8" x14ac:dyDescent="0.3">
      <c r="A82" s="289" t="s">
        <v>236</v>
      </c>
      <c r="B82" s="196"/>
      <c r="C82" s="377"/>
      <c r="D82" s="196"/>
      <c r="E82" s="197"/>
      <c r="F82" s="198"/>
      <c r="G82" s="378"/>
      <c r="H82" s="378"/>
    </row>
    <row r="83" spans="1:8" x14ac:dyDescent="0.3">
      <c r="A83" s="187" t="s">
        <v>324</v>
      </c>
      <c r="B83" s="279" t="s">
        <v>237</v>
      </c>
      <c r="C83" s="441" t="s">
        <v>334</v>
      </c>
      <c r="D83" s="222" t="s">
        <v>335</v>
      </c>
      <c r="E83" s="379" t="s">
        <v>336</v>
      </c>
      <c r="F83" s="191">
        <v>69</v>
      </c>
      <c r="G83" s="357" t="s">
        <v>241</v>
      </c>
      <c r="H83" s="175"/>
    </row>
    <row r="84" spans="1:8" ht="15" thickBot="1" x14ac:dyDescent="0.35">
      <c r="A84" s="209" t="s">
        <v>324</v>
      </c>
      <c r="B84" s="285" t="s">
        <v>237</v>
      </c>
      <c r="C84" s="327" t="s">
        <v>337</v>
      </c>
      <c r="D84" s="285" t="s">
        <v>338</v>
      </c>
      <c r="E84" s="380" t="s">
        <v>365</v>
      </c>
      <c r="F84" s="444">
        <v>0</v>
      </c>
      <c r="G84" s="381" t="s">
        <v>241</v>
      </c>
      <c r="H84" s="382"/>
    </row>
    <row r="85" spans="1:8" x14ac:dyDescent="0.3">
      <c r="A85" s="289" t="s">
        <v>245</v>
      </c>
      <c r="B85" s="196"/>
      <c r="C85" s="377"/>
      <c r="D85" s="196"/>
      <c r="E85" s="197"/>
      <c r="F85" s="198"/>
      <c r="G85" s="378"/>
      <c r="H85" s="378"/>
    </row>
    <row r="86" spans="1:8" ht="15" thickBot="1" x14ac:dyDescent="0.35">
      <c r="A86" s="302"/>
      <c r="B86" s="203"/>
      <c r="C86" s="178"/>
      <c r="D86" s="178"/>
      <c r="E86" s="383"/>
      <c r="F86" s="384"/>
      <c r="G86" s="385"/>
      <c r="H86" s="386"/>
    </row>
    <row r="87" spans="1:8" x14ac:dyDescent="0.3">
      <c r="A87" s="387" t="s">
        <v>254</v>
      </c>
      <c r="B87" s="388"/>
      <c r="C87" s="377"/>
      <c r="D87" s="196"/>
      <c r="E87" s="389"/>
      <c r="F87" s="390"/>
      <c r="G87" s="207"/>
      <c r="H87" s="391"/>
    </row>
    <row r="88" spans="1:8" x14ac:dyDescent="0.3">
      <c r="A88" s="294" t="s">
        <v>324</v>
      </c>
      <c r="B88" s="194" t="s">
        <v>255</v>
      </c>
      <c r="C88" s="194" t="s">
        <v>339</v>
      </c>
      <c r="D88" s="194" t="s">
        <v>340</v>
      </c>
      <c r="E88" s="372" t="s">
        <v>341</v>
      </c>
      <c r="F88" s="191">
        <v>74</v>
      </c>
      <c r="G88" s="175" t="s">
        <v>259</v>
      </c>
      <c r="H88" s="193"/>
    </row>
    <row r="89" spans="1:8" ht="21" thickBot="1" x14ac:dyDescent="0.35">
      <c r="A89" s="302" t="s">
        <v>324</v>
      </c>
      <c r="B89" s="392" t="s">
        <v>255</v>
      </c>
      <c r="C89" s="393" t="s">
        <v>374</v>
      </c>
      <c r="D89" s="393" t="s">
        <v>342</v>
      </c>
      <c r="E89" s="372" t="s">
        <v>343</v>
      </c>
      <c r="F89" s="394">
        <v>53</v>
      </c>
      <c r="G89" s="251" t="s">
        <v>235</v>
      </c>
      <c r="H89" s="395" t="s">
        <v>280</v>
      </c>
    </row>
    <row r="90" spans="1:8" ht="15" thickBot="1" x14ac:dyDescent="0.35">
      <c r="A90" s="256"/>
      <c r="B90" s="213"/>
      <c r="C90" s="214"/>
      <c r="D90" s="214"/>
      <c r="E90" s="215" t="s">
        <v>260</v>
      </c>
      <c r="F90" s="216">
        <f>SUM(F78:F81,F83:F84,F88:F89)</f>
        <v>474</v>
      </c>
      <c r="G90" s="217"/>
      <c r="H90" s="260"/>
    </row>
    <row r="91" spans="1:8" ht="18" thickBot="1" x14ac:dyDescent="0.35">
      <c r="A91" s="466" t="s">
        <v>261</v>
      </c>
      <c r="B91" s="467"/>
      <c r="C91" s="467"/>
      <c r="D91" s="467"/>
      <c r="E91" s="467"/>
      <c r="F91" s="467"/>
      <c r="G91" s="467"/>
      <c r="H91" s="468"/>
    </row>
    <row r="92" spans="1:8" ht="29.4" thickBot="1" x14ac:dyDescent="0.35">
      <c r="A92" s="163" t="s">
        <v>262</v>
      </c>
      <c r="B92" s="164" t="s">
        <v>218</v>
      </c>
      <c r="C92" s="164" t="s">
        <v>219</v>
      </c>
      <c r="D92" s="164" t="s">
        <v>220</v>
      </c>
      <c r="E92" s="164" t="s">
        <v>221</v>
      </c>
      <c r="F92" s="165" t="s">
        <v>222</v>
      </c>
      <c r="G92" s="166" t="s">
        <v>223</v>
      </c>
      <c r="H92" s="167" t="s">
        <v>224</v>
      </c>
    </row>
    <row r="93" spans="1:8" x14ac:dyDescent="0.3">
      <c r="A93" s="168" t="s">
        <v>225</v>
      </c>
      <c r="B93" s="396"/>
      <c r="C93" s="396"/>
      <c r="D93" s="396"/>
      <c r="E93" s="397"/>
      <c r="F93" s="398"/>
      <c r="G93" s="371"/>
      <c r="H93" s="172"/>
    </row>
    <row r="94" spans="1:8" x14ac:dyDescent="0.3">
      <c r="A94" s="187" t="s">
        <v>324</v>
      </c>
      <c r="B94" s="295" t="s">
        <v>344</v>
      </c>
      <c r="C94" s="222" t="s">
        <v>345</v>
      </c>
      <c r="D94" s="222" t="s">
        <v>346</v>
      </c>
      <c r="E94" s="399" t="s">
        <v>347</v>
      </c>
      <c r="F94" s="400">
        <v>27</v>
      </c>
      <c r="G94" s="401" t="s">
        <v>235</v>
      </c>
      <c r="H94" s="402"/>
    </row>
    <row r="95" spans="1:8" ht="15" thickBot="1" x14ac:dyDescent="0.35">
      <c r="A95" s="209" t="s">
        <v>324</v>
      </c>
      <c r="B95" s="285" t="s">
        <v>310</v>
      </c>
      <c r="C95" s="329" t="s">
        <v>348</v>
      </c>
      <c r="D95" s="329" t="s">
        <v>349</v>
      </c>
      <c r="E95" s="403" t="s">
        <v>293</v>
      </c>
      <c r="F95" s="250">
        <v>1</v>
      </c>
      <c r="G95" s="404" t="s">
        <v>235</v>
      </c>
      <c r="H95" s="405"/>
    </row>
    <row r="96" spans="1:8" ht="20.399999999999999" x14ac:dyDescent="0.3">
      <c r="A96" s="181" t="s">
        <v>236</v>
      </c>
      <c r="B96" s="406"/>
      <c r="C96" s="406"/>
      <c r="D96" s="406"/>
      <c r="E96" s="407"/>
      <c r="F96" s="408"/>
      <c r="G96" s="409"/>
      <c r="H96" s="410"/>
    </row>
    <row r="97" spans="1:8" ht="15" customHeight="1" x14ac:dyDescent="0.3">
      <c r="A97" s="411" t="s">
        <v>324</v>
      </c>
      <c r="B97" s="279" t="s">
        <v>270</v>
      </c>
      <c r="C97" s="221" t="s">
        <v>271</v>
      </c>
      <c r="D97" s="279" t="s">
        <v>272</v>
      </c>
      <c r="E97" s="373" t="s">
        <v>365</v>
      </c>
      <c r="F97" s="412">
        <v>17</v>
      </c>
      <c r="G97" s="413" t="s">
        <v>241</v>
      </c>
      <c r="H97" s="414" t="s">
        <v>280</v>
      </c>
    </row>
    <row r="98" spans="1:8" ht="15" thickBot="1" x14ac:dyDescent="0.35">
      <c r="A98" s="209" t="s">
        <v>324</v>
      </c>
      <c r="B98" s="424"/>
      <c r="C98" s="424"/>
      <c r="D98" s="424"/>
      <c r="E98" s="432"/>
      <c r="F98" s="425"/>
      <c r="G98" s="431"/>
      <c r="H98" s="175"/>
    </row>
    <row r="99" spans="1:8" x14ac:dyDescent="0.3">
      <c r="A99" s="195" t="s">
        <v>245</v>
      </c>
      <c r="B99" s="196"/>
      <c r="C99" s="196"/>
      <c r="D99" s="196"/>
      <c r="E99" s="237"/>
      <c r="F99" s="415"/>
      <c r="G99" s="378"/>
      <c r="H99" s="172"/>
    </row>
    <row r="100" spans="1:8" ht="15" thickBot="1" x14ac:dyDescent="0.35">
      <c r="A100" s="416"/>
      <c r="B100" s="203"/>
      <c r="C100" s="178"/>
      <c r="D100" s="178"/>
      <c r="E100" s="417"/>
      <c r="F100" s="418"/>
      <c r="G100" s="385"/>
      <c r="H100" s="419"/>
    </row>
    <row r="101" spans="1:8" x14ac:dyDescent="0.3">
      <c r="A101" s="195" t="s">
        <v>254</v>
      </c>
      <c r="B101" s="196"/>
      <c r="C101" s="196"/>
      <c r="D101" s="196"/>
      <c r="E101" s="420"/>
      <c r="F101" s="248"/>
      <c r="G101" s="207"/>
      <c r="H101" s="354"/>
    </row>
    <row r="102" spans="1:8" ht="15" thickBot="1" x14ac:dyDescent="0.35">
      <c r="A102" s="416" t="s">
        <v>324</v>
      </c>
      <c r="B102" s="204" t="s">
        <v>281</v>
      </c>
      <c r="C102" s="244" t="s">
        <v>355</v>
      </c>
      <c r="D102" s="204" t="s">
        <v>356</v>
      </c>
      <c r="E102" s="421" t="s">
        <v>366</v>
      </c>
      <c r="F102" s="422">
        <v>36</v>
      </c>
      <c r="G102" s="211" t="s">
        <v>235</v>
      </c>
      <c r="H102" s="386"/>
    </row>
    <row r="103" spans="1:8" ht="15" thickBot="1" x14ac:dyDescent="0.35">
      <c r="A103" s="256"/>
      <c r="B103" s="213"/>
      <c r="C103" s="214"/>
      <c r="D103" s="214"/>
      <c r="E103" s="257" t="s">
        <v>260</v>
      </c>
      <c r="F103" s="423">
        <f>(F94+F95+F97+F98+F102)</f>
        <v>81</v>
      </c>
      <c r="G103" s="217"/>
      <c r="H103" s="260"/>
    </row>
    <row r="104" spans="1:8" ht="15" thickBot="1" x14ac:dyDescent="0.35">
      <c r="A104" s="261"/>
      <c r="B104" s="262"/>
      <c r="C104" s="262"/>
      <c r="D104" s="262"/>
      <c r="E104" s="262"/>
      <c r="F104" s="263"/>
      <c r="G104" s="262"/>
      <c r="H104" s="264"/>
    </row>
  </sheetData>
  <mergeCells count="13">
    <mergeCell ref="A91:H91"/>
    <mergeCell ref="A3:H3"/>
    <mergeCell ref="A5:D5"/>
    <mergeCell ref="F5:G5"/>
    <mergeCell ref="A7:H7"/>
    <mergeCell ref="A21:H21"/>
    <mergeCell ref="A39:D39"/>
    <mergeCell ref="F39:G39"/>
    <mergeCell ref="A41:H41"/>
    <mergeCell ref="A56:H56"/>
    <mergeCell ref="A73:D73"/>
    <mergeCell ref="F73:G73"/>
    <mergeCell ref="A75:H7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Sem Test 1 S2 2025 (Diplomas)</vt:lpstr>
      <vt:lpstr>Sem Test 1 S2 2025 Sat Classes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Vianney Witesyauwirwa Kambale</dc:creator>
  <cp:lastModifiedBy>Vianney Witesyauwirwa Kambale</cp:lastModifiedBy>
  <dcterms:created xsi:type="dcterms:W3CDTF">2025-08-05T16:46:42Z</dcterms:created>
  <dcterms:modified xsi:type="dcterms:W3CDTF">2025-08-07T15:51:24Z</dcterms:modified>
</cp:coreProperties>
</file>